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1135" yWindow="915" windowWidth="7575" windowHeight="13455" tabRatio="975" firstSheet="16" activeTab="16"/>
  </bookViews>
  <sheets>
    <sheet name="客戶資料表" sheetId="1" r:id="rId1"/>
    <sheet name="車輛進出管制" sheetId="2" r:id="rId2"/>
    <sheet name="客戶來店登記" sheetId="3" r:id="rId3"/>
    <sheet name="車籍資料" sheetId="4" r:id="rId4"/>
    <sheet name="過戶繳銷進度表" sheetId="5" r:id="rId5"/>
    <sheet name="車名" sheetId="6" r:id="rId6"/>
    <sheet name="過戶牌照" sheetId="7" r:id="rId7"/>
    <sheet name="7-11登記名單" sheetId="8" r:id="rId8"/>
    <sheet name="衛星導航領請清冊" sheetId="9" r:id="rId9"/>
    <sheet name="杰運匯款帳號" sheetId="10" r:id="rId10"/>
    <sheet name="車輛美容預約" sheetId="11" r:id="rId11"/>
    <sheet name="業績表" sheetId="12" r:id="rId12"/>
    <sheet name="2019" sheetId="13" r:id="rId13"/>
    <sheet name="AutoStar估車" sheetId="14" r:id="rId14"/>
    <sheet name="代辦付費表" sheetId="15" r:id="rId15"/>
    <sheet name="牌登正本" sheetId="16" r:id="rId16"/>
    <sheet name="認證表格" sheetId="17" r:id="rId17"/>
    <sheet name="車籍" sheetId="18" r:id="rId18"/>
  </sheets>
  <definedNames>
    <definedName name="Calendar10Month">車輛美容預約!$C$127</definedName>
    <definedName name="Calendar10MonthOption">MATCH(Calendar10Month,Months,0)</definedName>
    <definedName name="Calendar10Year">車輛美容預約!$B$127</definedName>
    <definedName name="Calendar11Month">車輛美容預約!$C$141</definedName>
    <definedName name="Calendar11MonthOption">MATCH(Calendar11Month,Months,0)</definedName>
    <definedName name="Calendar11Year">車輛美容預約!$B$141</definedName>
    <definedName name="Calendar12Month">車輛美容預約!$C$155</definedName>
    <definedName name="Calendar12MonthOption">MATCH(Calendar12Month,Months,0)</definedName>
    <definedName name="Calendar12Year">車輛美容預約!$B$155</definedName>
    <definedName name="Calendar1Month">車輛美容預約!$C$1</definedName>
    <definedName name="Calendar1MonthOption">MATCH(Calendar1Month,Months,0)</definedName>
    <definedName name="Calendar1Year">車輛美容預約!$B$1</definedName>
    <definedName name="Calendar2Month">車輛美容預約!$C$15</definedName>
    <definedName name="Calendar2MonthOption">MATCH(Calendar2Month,Months,0)</definedName>
    <definedName name="Calendar2Year">車輛美容預約!$B$15</definedName>
    <definedName name="Calendar3Month">車輛美容預約!$C$29</definedName>
    <definedName name="Calendar3MonthOption">MATCH(Calendar3Month,Months,0)</definedName>
    <definedName name="Calendar3Year">車輛美容預約!$B$29</definedName>
    <definedName name="Calendar4Month">車輛美容預約!$C$43</definedName>
    <definedName name="Calendar4MonthOption">MATCH(Calendar4Month,Months,0)</definedName>
    <definedName name="Calendar4Year">車輛美容預約!$B$43</definedName>
    <definedName name="Calendar5Month">車輛美容預約!$C$57</definedName>
    <definedName name="Calendar5MonthOption">MATCH(Calendar5Month,Months,0)</definedName>
    <definedName name="Calendar5Year">車輛美容預約!$B$57</definedName>
    <definedName name="Calendar6Month">車輛美容預約!$C$71</definedName>
    <definedName name="Calendar6MonthOption">MATCH(Calendar6Month,Months,0)</definedName>
    <definedName name="Calendar6Year">車輛美容預約!$B$71</definedName>
    <definedName name="Calendar7Month">車輛美容預約!$C$85</definedName>
    <definedName name="Calendar7MonthOption">MATCH(Calendar7Month,Months,0)</definedName>
    <definedName name="Calendar7Year">車輛美容預約!$B$85</definedName>
    <definedName name="Calendar8Month">車輛美容預約!$C$99</definedName>
    <definedName name="Calendar8MonthOption">MATCH(Calendar8Month,Months,0)</definedName>
    <definedName name="Calendar8Year">車輛美容預約!$B$99</definedName>
    <definedName name="Calendar9Month">車輛美容預約!$C$113</definedName>
    <definedName name="Calendar9MonthOption">MATCH(Calendar9Month,Months,0)</definedName>
    <definedName name="Calendar9Year">車輛美容預約!$B$113</definedName>
    <definedName name="Days">{0,1,2,3,4,5,6}</definedName>
    <definedName name="Months">{"一月","二月","三月","四月","五月","六月","七月","八月","九月","十月","十一月","十二月"}</definedName>
    <definedName name="_xlnm.Print_Area" localSheetId="12">'2019'!$C$1:$K$11</definedName>
    <definedName name="_xlnm.Print_Area" localSheetId="14">代辦付費表!$A$1:$G$24</definedName>
    <definedName name="_xlnm.Print_Area" localSheetId="1">車輛進出管制!$A$1:$H$20</definedName>
    <definedName name="_xlnm.Print_Area" localSheetId="3">車籍資料!$A$1:$M$34</definedName>
    <definedName name="_xlnm.Print_Area" localSheetId="9">杰運匯款帳號!$A$1:$I$46</definedName>
    <definedName name="_xlnm.Print_Area" localSheetId="2">客戶來店登記!$A$1:$G$18</definedName>
    <definedName name="_xlnm.Print_Area" localSheetId="15">牌登正本!$A$1:$I$34</definedName>
    <definedName name="_xlnm.Print_Area" localSheetId="11">業績表!$A$1:$J$43</definedName>
    <definedName name="_xlnm.Print_Area" localSheetId="8">衛星導航領請清冊!$A$1:$H$22</definedName>
    <definedName name="WeekdayOption">MATCH(WeekStart,Weekdays,0)+10</definedName>
    <definedName name="Weekdays">{"星期一","星期二","星期三","星期四","星期五","星期六","星期日"}</definedName>
    <definedName name="WeekStart">車輛美容預約!$B$2</definedName>
    <definedName name="WeekStartValue">IF(WeekStart="星期一",2,1)</definedName>
  </definedNames>
  <calcPr calcId="144525"/>
</workbook>
</file>

<file path=xl/calcChain.xml><?xml version="1.0" encoding="utf-8"?>
<calcChain xmlns="http://schemas.openxmlformats.org/spreadsheetml/2006/main">
  <c r="B1" i="11" l="1"/>
  <c r="B7" i="11" s="1" a="1"/>
  <c r="G7" i="11" l="1"/>
  <c r="E7" i="11"/>
  <c r="D7" i="11"/>
  <c r="C7" i="11"/>
  <c r="B7" i="11"/>
  <c r="H7" i="11"/>
  <c r="F7" i="11"/>
  <c r="B11" i="11" a="1"/>
  <c r="B9" i="11" a="1"/>
  <c r="B5" i="11" a="1"/>
  <c r="B3" i="11" a="1"/>
  <c r="B13" i="11" a="1"/>
  <c r="C15" i="11"/>
  <c r="B15" i="11"/>
  <c r="C13" i="11" l="1"/>
  <c r="B13" i="11"/>
  <c r="G3" i="11"/>
  <c r="G2" i="11" s="1"/>
  <c r="E3" i="11"/>
  <c r="E2" i="11" s="1"/>
  <c r="D3" i="11"/>
  <c r="D2" i="11" s="1"/>
  <c r="H3" i="11"/>
  <c r="H2" i="11" s="1"/>
  <c r="F3" i="11"/>
  <c r="F2" i="11" s="1"/>
  <c r="C3" i="11"/>
  <c r="C2" i="11" s="1"/>
  <c r="B3" i="11"/>
  <c r="G11" i="11"/>
  <c r="E11" i="11"/>
  <c r="D11" i="11"/>
  <c r="B11" i="11"/>
  <c r="C11" i="11"/>
  <c r="H11" i="11"/>
  <c r="F11" i="11"/>
  <c r="C29" i="11"/>
  <c r="B29" i="11"/>
  <c r="B21" i="11" a="1"/>
  <c r="B27" i="11" a="1"/>
  <c r="B17" i="11" a="1"/>
  <c r="B23" i="11" a="1"/>
  <c r="B25" i="11" a="1"/>
  <c r="B19" i="11" a="1"/>
  <c r="G5" i="11"/>
  <c r="E5" i="11"/>
  <c r="D5" i="11"/>
  <c r="H5" i="11"/>
  <c r="B5" i="11"/>
  <c r="F5" i="11"/>
  <c r="C5" i="11"/>
  <c r="G9" i="11"/>
  <c r="E9" i="11"/>
  <c r="D9" i="11"/>
  <c r="H9" i="11"/>
  <c r="F9" i="11"/>
  <c r="C9" i="11"/>
  <c r="B9" i="11"/>
  <c r="C19" i="11" l="1"/>
  <c r="B19" i="11"/>
  <c r="H19" i="11"/>
  <c r="G19" i="11"/>
  <c r="F19" i="11"/>
  <c r="E19" i="11"/>
  <c r="D19" i="11"/>
  <c r="C43" i="11"/>
  <c r="B43" i="11"/>
  <c r="B35" i="11" a="1"/>
  <c r="B41" i="11" a="1"/>
  <c r="B31" i="11" a="1"/>
  <c r="B37" i="11" a="1"/>
  <c r="B39" i="11" a="1"/>
  <c r="B33" i="11" a="1"/>
  <c r="C25" i="11"/>
  <c r="B25" i="11"/>
  <c r="H25" i="11"/>
  <c r="D25" i="11"/>
  <c r="G25" i="11"/>
  <c r="F25" i="11"/>
  <c r="E25" i="11"/>
  <c r="C17" i="11"/>
  <c r="C16" i="11" s="1"/>
  <c r="B17" i="11"/>
  <c r="B16" i="11" s="1"/>
  <c r="H17" i="11"/>
  <c r="H16" i="11" s="1"/>
  <c r="F17" i="11"/>
  <c r="F16" i="11" s="1"/>
  <c r="E17" i="11"/>
  <c r="E16" i="11" s="1"/>
  <c r="D17" i="11"/>
  <c r="D16" i="11" s="1"/>
  <c r="G17" i="11"/>
  <c r="G16" i="11" s="1"/>
  <c r="C27" i="11"/>
  <c r="B27" i="11"/>
  <c r="C21" i="11"/>
  <c r="B21" i="11"/>
  <c r="H21" i="11"/>
  <c r="D21" i="11"/>
  <c r="F21" i="11"/>
  <c r="G21" i="11"/>
  <c r="E21" i="11"/>
  <c r="C23" i="11"/>
  <c r="B23" i="11"/>
  <c r="H23" i="11"/>
  <c r="G23" i="11"/>
  <c r="F23" i="11"/>
  <c r="E23" i="11"/>
  <c r="D23" i="11"/>
  <c r="G33" i="11" l="1"/>
  <c r="E33" i="11"/>
  <c r="D33" i="11"/>
  <c r="H33" i="11"/>
  <c r="F33" i="11"/>
  <c r="B33" i="11"/>
  <c r="C33" i="11"/>
  <c r="G37" i="11"/>
  <c r="E37" i="11"/>
  <c r="D37" i="11"/>
  <c r="H37" i="11"/>
  <c r="F37" i="11"/>
  <c r="C37" i="11"/>
  <c r="B37" i="11"/>
  <c r="C41" i="11"/>
  <c r="B41" i="11"/>
  <c r="G35" i="11"/>
  <c r="E35" i="11"/>
  <c r="D35" i="11"/>
  <c r="B35" i="11"/>
  <c r="H35" i="11"/>
  <c r="F35" i="11"/>
  <c r="C35" i="11"/>
  <c r="G39" i="11"/>
  <c r="E39" i="11"/>
  <c r="D39" i="11"/>
  <c r="B39" i="11"/>
  <c r="H39" i="11"/>
  <c r="F39" i="11"/>
  <c r="C39" i="11"/>
  <c r="G31" i="11"/>
  <c r="G30" i="11" s="1"/>
  <c r="E31" i="11"/>
  <c r="E30" i="11" s="1"/>
  <c r="D31" i="11"/>
  <c r="D30" i="11" s="1"/>
  <c r="F31" i="11"/>
  <c r="F30" i="11" s="1"/>
  <c r="C31" i="11"/>
  <c r="C30" i="11" s="1"/>
  <c r="H31" i="11"/>
  <c r="H30" i="11" s="1"/>
  <c r="B31" i="11"/>
  <c r="B30" i="11" s="1"/>
  <c r="B57" i="11"/>
  <c r="B49" i="11" a="1"/>
  <c r="B55" i="11" a="1"/>
  <c r="B45" i="11" a="1"/>
  <c r="B53" i="11" a="1"/>
  <c r="B51" i="11" a="1"/>
  <c r="C57" i="11"/>
  <c r="B47" i="11" a="1"/>
  <c r="C55" i="11" l="1"/>
  <c r="B55" i="11"/>
  <c r="C71" i="11"/>
  <c r="B71" i="11"/>
  <c r="B69" i="11" a="1"/>
  <c r="B59" i="11" a="1"/>
  <c r="B65" i="11" a="1"/>
  <c r="B63" i="11" a="1"/>
  <c r="B61" i="11" a="1"/>
  <c r="B67" i="11" a="1"/>
  <c r="C51" i="11"/>
  <c r="B51" i="11"/>
  <c r="H51" i="11"/>
  <c r="F51" i="11"/>
  <c r="E51" i="11"/>
  <c r="D51" i="11"/>
  <c r="G51" i="11"/>
  <c r="C53" i="11"/>
  <c r="B53" i="11"/>
  <c r="H53" i="11"/>
  <c r="G53" i="11"/>
  <c r="F53" i="11"/>
  <c r="E53" i="11"/>
  <c r="D53" i="11"/>
  <c r="C49" i="11"/>
  <c r="B49" i="11"/>
  <c r="H49" i="11"/>
  <c r="G49" i="11"/>
  <c r="E49" i="11"/>
  <c r="F49" i="11"/>
  <c r="D49" i="11"/>
  <c r="C47" i="11"/>
  <c r="B47" i="11"/>
  <c r="H47" i="11"/>
  <c r="G47" i="11"/>
  <c r="F47" i="11"/>
  <c r="E47" i="11"/>
  <c r="D47" i="11"/>
  <c r="C45" i="11"/>
  <c r="C44" i="11" s="1"/>
  <c r="B45" i="11"/>
  <c r="B44" i="11" s="1"/>
  <c r="H45" i="11"/>
  <c r="H44" i="11" s="1"/>
  <c r="E45" i="11"/>
  <c r="E44" i="11" s="1"/>
  <c r="D45" i="11"/>
  <c r="D44" i="11" s="1"/>
  <c r="F45" i="11"/>
  <c r="F44" i="11" s="1"/>
  <c r="G45" i="11"/>
  <c r="G44" i="11" s="1"/>
  <c r="G65" i="11" l="1"/>
  <c r="E65" i="11"/>
  <c r="D65" i="11"/>
  <c r="F65" i="11"/>
  <c r="C65" i="11"/>
  <c r="B65" i="11"/>
  <c r="H65" i="11"/>
  <c r="G59" i="11"/>
  <c r="G58" i="11" s="1"/>
  <c r="E59" i="11"/>
  <c r="E58" i="11" s="1"/>
  <c r="D59" i="11"/>
  <c r="D58" i="11" s="1"/>
  <c r="C59" i="11"/>
  <c r="C58" i="11" s="1"/>
  <c r="B59" i="11"/>
  <c r="B58" i="11" s="1"/>
  <c r="F59" i="11"/>
  <c r="F58" i="11" s="1"/>
  <c r="H59" i="11"/>
  <c r="H58" i="11" s="1"/>
  <c r="B69" i="11"/>
  <c r="C69" i="11"/>
  <c r="B83" i="11" a="1"/>
  <c r="B73" i="11" a="1"/>
  <c r="B79" i="11" a="1"/>
  <c r="B75" i="11" a="1"/>
  <c r="C85" i="11"/>
  <c r="B85" i="11"/>
  <c r="B81" i="11" a="1"/>
  <c r="B77" i="11" a="1"/>
  <c r="G67" i="11"/>
  <c r="E67" i="11"/>
  <c r="D67" i="11"/>
  <c r="H67" i="11"/>
  <c r="B67" i="11"/>
  <c r="F67" i="11"/>
  <c r="C67" i="11"/>
  <c r="G63" i="11"/>
  <c r="E63" i="11"/>
  <c r="D63" i="11"/>
  <c r="B63" i="11"/>
  <c r="C63" i="11"/>
  <c r="H63" i="11"/>
  <c r="F63" i="11"/>
  <c r="G61" i="11"/>
  <c r="E61" i="11"/>
  <c r="D61" i="11"/>
  <c r="H61" i="11"/>
  <c r="F61" i="11"/>
  <c r="C61" i="11"/>
  <c r="B61" i="11"/>
  <c r="C77" i="11" l="1"/>
  <c r="B77" i="11"/>
  <c r="H77" i="11"/>
  <c r="D77" i="11"/>
  <c r="G77" i="11"/>
  <c r="F77" i="11"/>
  <c r="E77" i="11"/>
  <c r="C79" i="11"/>
  <c r="B79" i="11"/>
  <c r="H79" i="11"/>
  <c r="E79" i="11"/>
  <c r="D79" i="11"/>
  <c r="G79" i="11"/>
  <c r="F79" i="11"/>
  <c r="C99" i="11"/>
  <c r="B99" i="11"/>
  <c r="B87" i="11" a="1"/>
  <c r="B93" i="11" a="1"/>
  <c r="B97" i="11" a="1"/>
  <c r="B89" i="11" a="1"/>
  <c r="B91" i="11" a="1"/>
  <c r="B95" i="11" a="1"/>
  <c r="C73" i="11"/>
  <c r="C72" i="11" s="1"/>
  <c r="B73" i="11"/>
  <c r="B72" i="11" s="1"/>
  <c r="H73" i="11"/>
  <c r="H72" i="11" s="1"/>
  <c r="D73" i="11"/>
  <c r="D72" i="11" s="1"/>
  <c r="E73" i="11"/>
  <c r="E72" i="11" s="1"/>
  <c r="G73" i="11"/>
  <c r="G72" i="11" s="1"/>
  <c r="F73" i="11"/>
  <c r="F72" i="11" s="1"/>
  <c r="C81" i="11"/>
  <c r="B81" i="11"/>
  <c r="H81" i="11"/>
  <c r="G81" i="11"/>
  <c r="F81" i="11"/>
  <c r="E81" i="11"/>
  <c r="D81" i="11"/>
  <c r="C75" i="11"/>
  <c r="B75" i="11"/>
  <c r="H75" i="11"/>
  <c r="G75" i="11"/>
  <c r="F75" i="11"/>
  <c r="E75" i="11"/>
  <c r="D75" i="11"/>
  <c r="C83" i="11"/>
  <c r="B83" i="11"/>
  <c r="G91" i="11" l="1"/>
  <c r="E91" i="11"/>
  <c r="D91" i="11"/>
  <c r="H91" i="11"/>
  <c r="B91" i="11"/>
  <c r="F91" i="11"/>
  <c r="C91" i="11"/>
  <c r="G89" i="11"/>
  <c r="E89" i="11"/>
  <c r="D89" i="11"/>
  <c r="H89" i="11"/>
  <c r="F89" i="11"/>
  <c r="C89" i="11"/>
  <c r="B89" i="11"/>
  <c r="B97" i="11"/>
  <c r="C97" i="11"/>
  <c r="B101" i="11" a="1"/>
  <c r="B107" i="11" a="1"/>
  <c r="B113" i="11"/>
  <c r="B103" i="11" a="1"/>
  <c r="B109" i="11" a="1"/>
  <c r="B111" i="11" a="1"/>
  <c r="C113" i="11"/>
  <c r="B105" i="11" a="1"/>
  <c r="G93" i="11"/>
  <c r="E93" i="11"/>
  <c r="D93" i="11"/>
  <c r="C93" i="11"/>
  <c r="B93" i="11"/>
  <c r="F93" i="11"/>
  <c r="H93" i="11"/>
  <c r="G95" i="11"/>
  <c r="E95" i="11"/>
  <c r="D95" i="11"/>
  <c r="H95" i="11"/>
  <c r="F95" i="11"/>
  <c r="C95" i="11"/>
  <c r="B95" i="11"/>
  <c r="G87" i="11"/>
  <c r="G86" i="11" s="1"/>
  <c r="E87" i="11"/>
  <c r="E86" i="11" s="1"/>
  <c r="D87" i="11"/>
  <c r="D86" i="11" s="1"/>
  <c r="B87" i="11"/>
  <c r="B86" i="11" s="1"/>
  <c r="F87" i="11"/>
  <c r="F86" i="11" s="1"/>
  <c r="H87" i="11"/>
  <c r="H86" i="11" s="1"/>
  <c r="C87" i="11"/>
  <c r="C86" i="11" s="1"/>
  <c r="C109" i="11" l="1"/>
  <c r="B109" i="11"/>
  <c r="H109" i="11"/>
  <c r="G109" i="11"/>
  <c r="F109" i="11"/>
  <c r="E109" i="11"/>
  <c r="D109" i="11"/>
  <c r="C103" i="11"/>
  <c r="B103" i="11"/>
  <c r="H103" i="11"/>
  <c r="F103" i="11"/>
  <c r="E103" i="11"/>
  <c r="D103" i="11"/>
  <c r="G103" i="11"/>
  <c r="C127" i="11"/>
  <c r="B127" i="11"/>
  <c r="B125" i="11" a="1"/>
  <c r="B121" i="11" a="1"/>
  <c r="B117" i="11" a="1"/>
  <c r="B123" i="11" a="1"/>
  <c r="B119" i="11" a="1"/>
  <c r="B115" i="11" a="1"/>
  <c r="C111" i="11"/>
  <c r="B111" i="11"/>
  <c r="C107" i="11"/>
  <c r="B107" i="11"/>
  <c r="H107" i="11"/>
  <c r="D107" i="11"/>
  <c r="F107" i="11"/>
  <c r="E107" i="11"/>
  <c r="G107" i="11"/>
  <c r="C105" i="11"/>
  <c r="B105" i="11"/>
  <c r="H105" i="11"/>
  <c r="G105" i="11"/>
  <c r="F105" i="11"/>
  <c r="E105" i="11"/>
  <c r="D105" i="11"/>
  <c r="C101" i="11"/>
  <c r="C100" i="11" s="1"/>
  <c r="B101" i="11"/>
  <c r="B100" i="11" s="1"/>
  <c r="H101" i="11"/>
  <c r="H100" i="11" s="1"/>
  <c r="D101" i="11"/>
  <c r="D100" i="11" s="1"/>
  <c r="G101" i="11"/>
  <c r="G100" i="11" s="1"/>
  <c r="E101" i="11"/>
  <c r="E100" i="11" s="1"/>
  <c r="F101" i="11"/>
  <c r="F100" i="11" s="1"/>
  <c r="G115" i="11" l="1"/>
  <c r="G114" i="11" s="1"/>
  <c r="E115" i="11"/>
  <c r="E114" i="11" s="1"/>
  <c r="D115" i="11"/>
  <c r="D114" i="11" s="1"/>
  <c r="B115" i="11"/>
  <c r="B114" i="11" s="1"/>
  <c r="H115" i="11"/>
  <c r="H114" i="11" s="1"/>
  <c r="C115" i="11"/>
  <c r="C114" i="11" s="1"/>
  <c r="F115" i="11"/>
  <c r="F114" i="11" s="1"/>
  <c r="G119" i="11"/>
  <c r="E119" i="11"/>
  <c r="D119" i="11"/>
  <c r="H119" i="11"/>
  <c r="F119" i="11"/>
  <c r="C119" i="11"/>
  <c r="B119" i="11"/>
  <c r="G123" i="11"/>
  <c r="E123" i="11"/>
  <c r="D123" i="11"/>
  <c r="H123" i="11"/>
  <c r="F123" i="11"/>
  <c r="C123" i="11"/>
  <c r="B123" i="11"/>
  <c r="G117" i="11"/>
  <c r="E117" i="11"/>
  <c r="D117" i="11"/>
  <c r="F117" i="11"/>
  <c r="C117" i="11"/>
  <c r="B117" i="11"/>
  <c r="H117" i="11"/>
  <c r="G121" i="11"/>
  <c r="E121" i="11"/>
  <c r="D121" i="11"/>
  <c r="B121" i="11"/>
  <c r="F121" i="11"/>
  <c r="C121" i="11"/>
  <c r="H121" i="11"/>
  <c r="B137" i="11" a="1"/>
  <c r="B139" i="11" a="1"/>
  <c r="B135" i="11" a="1"/>
  <c r="B133" i="11" a="1"/>
  <c r="B131" i="11" a="1"/>
  <c r="B129" i="11" a="1"/>
  <c r="C141" i="11"/>
  <c r="B141" i="11"/>
  <c r="C125" i="11"/>
  <c r="B125" i="11"/>
  <c r="C133" i="11" l="1"/>
  <c r="B133" i="11"/>
  <c r="H133" i="11"/>
  <c r="F133" i="11"/>
  <c r="G133" i="11"/>
  <c r="E133" i="11"/>
  <c r="D133" i="11"/>
  <c r="C139" i="11"/>
  <c r="B139" i="11"/>
  <c r="C137" i="11"/>
  <c r="B137" i="11"/>
  <c r="H137" i="11"/>
  <c r="F137" i="11"/>
  <c r="D137" i="11"/>
  <c r="G137" i="11"/>
  <c r="E137" i="11"/>
  <c r="C135" i="11"/>
  <c r="B135" i="11"/>
  <c r="H135" i="11"/>
  <c r="F135" i="11"/>
  <c r="E135" i="11"/>
  <c r="D135" i="11"/>
  <c r="G135" i="11"/>
  <c r="C155" i="11"/>
  <c r="B155" i="11"/>
  <c r="B153" i="11" a="1"/>
  <c r="B151" i="11" a="1"/>
  <c r="B149" i="11" a="1"/>
  <c r="B147" i="11" a="1"/>
  <c r="B145" i="11" a="1"/>
  <c r="B143" i="11" a="1"/>
  <c r="C131" i="11"/>
  <c r="B131" i="11"/>
  <c r="H131" i="11"/>
  <c r="F131" i="11"/>
  <c r="D131" i="11"/>
  <c r="G131" i="11"/>
  <c r="E131" i="11"/>
  <c r="C129" i="11"/>
  <c r="C128" i="11" s="1"/>
  <c r="B129" i="11"/>
  <c r="B128" i="11" s="1"/>
  <c r="H129" i="11"/>
  <c r="H128" i="11" s="1"/>
  <c r="F129" i="11"/>
  <c r="F128" i="11" s="1"/>
  <c r="G129" i="11"/>
  <c r="G128" i="11" s="1"/>
  <c r="E129" i="11"/>
  <c r="E128" i="11" s="1"/>
  <c r="D129" i="11"/>
  <c r="D128" i="11" s="1"/>
  <c r="G147" i="11" l="1"/>
  <c r="F147" i="11"/>
  <c r="E147" i="11"/>
  <c r="C147" i="11"/>
  <c r="D147" i="11"/>
  <c r="H147" i="11"/>
  <c r="B147" i="11"/>
  <c r="G149" i="11"/>
  <c r="F149" i="11"/>
  <c r="E149" i="11"/>
  <c r="D149" i="11"/>
  <c r="C149" i="11"/>
  <c r="H149" i="11"/>
  <c r="B149" i="11"/>
  <c r="G143" i="11"/>
  <c r="G142" i="11" s="1"/>
  <c r="F143" i="11"/>
  <c r="F142" i="11" s="1"/>
  <c r="E143" i="11"/>
  <c r="E142" i="11" s="1"/>
  <c r="D143" i="11"/>
  <c r="D142" i="11" s="1"/>
  <c r="C143" i="11"/>
  <c r="C142" i="11" s="1"/>
  <c r="B143" i="11"/>
  <c r="B142" i="11" s="1"/>
  <c r="H143" i="11"/>
  <c r="H142" i="11" s="1"/>
  <c r="G151" i="11"/>
  <c r="F151" i="11"/>
  <c r="E151" i="11"/>
  <c r="D151" i="11"/>
  <c r="C151" i="11"/>
  <c r="H151" i="11"/>
  <c r="B151" i="11"/>
  <c r="G145" i="11"/>
  <c r="F145" i="11"/>
  <c r="E145" i="11"/>
  <c r="D145" i="11"/>
  <c r="H145" i="11"/>
  <c r="C145" i="11"/>
  <c r="B145" i="11"/>
  <c r="C153" i="11"/>
  <c r="B153" i="11"/>
  <c r="B167" i="11" a="1"/>
  <c r="B165" i="11" a="1"/>
  <c r="B163" i="11" a="1"/>
  <c r="B161" i="11" a="1"/>
  <c r="B159" i="11" a="1"/>
  <c r="B157" i="11" a="1"/>
  <c r="C167" i="11" l="1"/>
  <c r="B167" i="11"/>
  <c r="C163" i="11"/>
  <c r="B163" i="11"/>
  <c r="G163" i="11"/>
  <c r="H163" i="11"/>
  <c r="F163" i="11"/>
  <c r="E163" i="11"/>
  <c r="D163" i="11"/>
  <c r="C165" i="11"/>
  <c r="B165" i="11"/>
  <c r="H165" i="11"/>
  <c r="G165" i="11"/>
  <c r="F165" i="11"/>
  <c r="E165" i="11"/>
  <c r="D165" i="11"/>
  <c r="C157" i="11"/>
  <c r="C156" i="11" s="1"/>
  <c r="B157" i="11"/>
  <c r="B156" i="11" s="1"/>
  <c r="H157" i="11"/>
  <c r="H156" i="11" s="1"/>
  <c r="G157" i="11"/>
  <c r="G156" i="11" s="1"/>
  <c r="F157" i="11"/>
  <c r="F156" i="11" s="1"/>
  <c r="D157" i="11"/>
  <c r="D156" i="11" s="1"/>
  <c r="E157" i="11"/>
  <c r="E156" i="11" s="1"/>
  <c r="C159" i="11"/>
  <c r="B159" i="11"/>
  <c r="H159" i="11"/>
  <c r="G159" i="11"/>
  <c r="F159" i="11"/>
  <c r="E159" i="11"/>
  <c r="D159" i="11"/>
  <c r="C161" i="11"/>
  <c r="B161" i="11"/>
  <c r="H161" i="11"/>
  <c r="G161" i="11"/>
  <c r="F161" i="11"/>
  <c r="E161" i="11"/>
  <c r="D161" i="11"/>
</calcChain>
</file>

<file path=xl/sharedStrings.xml><?xml version="1.0" encoding="utf-8"?>
<sst xmlns="http://schemas.openxmlformats.org/spreadsheetml/2006/main" count="976" uniqueCount="293">
  <si>
    <t>杰運汽車-客戶資料紀錄表</t>
  </si>
  <si>
    <t>日期</t>
  </si>
  <si>
    <t>來源</t>
  </si>
  <si>
    <t>稱呼</t>
  </si>
  <si>
    <t>電話 (聯絡方式)</t>
  </si>
  <si>
    <t>洽詢車種</t>
  </si>
  <si>
    <t>需求</t>
  </si>
  <si>
    <t>問題</t>
  </si>
  <si>
    <t>備註</t>
  </si>
  <si>
    <t>杰運汽車-車輛停放區域管制表</t>
  </si>
  <si>
    <t>項次</t>
  </si>
  <si>
    <t>車型</t>
  </si>
  <si>
    <t>車號</t>
  </si>
  <si>
    <t>入庫日期</t>
  </si>
  <si>
    <t>停放日期</t>
  </si>
  <si>
    <t>停放時間</t>
  </si>
  <si>
    <t>停放位置</t>
  </si>
  <si>
    <t>杰運汽車-客戶來店(邀約)登記表</t>
  </si>
  <si>
    <t>業務</t>
  </si>
  <si>
    <t>客戶姓名</t>
  </si>
  <si>
    <t>電話</t>
  </si>
  <si>
    <t>成交</t>
  </si>
  <si>
    <t>廠牌</t>
  </si>
  <si>
    <t>牌登書</t>
  </si>
  <si>
    <t>行照</t>
  </si>
  <si>
    <t>備份鑰匙</t>
  </si>
  <si>
    <t>身分證</t>
  </si>
  <si>
    <t>出廠證年份</t>
  </si>
  <si>
    <t>排氣量</t>
  </si>
  <si>
    <t>里程</t>
  </si>
  <si>
    <t>售價</t>
  </si>
  <si>
    <t>連結</t>
  </si>
  <si>
    <t>奧迪                  Audi</t>
  </si>
  <si>
    <t>Q7</t>
  </si>
  <si>
    <t>2007年4月</t>
  </si>
  <si>
    <t>柴油/銀</t>
  </si>
  <si>
    <t>https://www.autostar.com.tw/p1_buy_detail.php?detail_PKey=2951</t>
  </si>
  <si>
    <t>日產                  Nissan</t>
  </si>
  <si>
    <t>370Z</t>
  </si>
  <si>
    <t>2010年8月</t>
  </si>
  <si>
    <t>汽油/水藍</t>
  </si>
  <si>
    <t>https://www.autostar.com.tw/p1_buy_detail.php?detail_PKey=2956</t>
  </si>
  <si>
    <t>賓士              Mercedes-Benz</t>
  </si>
  <si>
    <t>C-CLASS</t>
  </si>
  <si>
    <t>2012年8月</t>
  </si>
  <si>
    <t>汽油/白</t>
  </si>
  <si>
    <t>https://www.autostar.com.tw/p1_buy_detail.php?detail_PKey=2958</t>
  </si>
  <si>
    <t>E-CLASS</t>
  </si>
  <si>
    <t>2011年3月</t>
  </si>
  <si>
    <t>https://www.autostar.com.tw/p1_buy_detail.php?detail_PKey=2960</t>
  </si>
  <si>
    <t>福斯            Volkswagen</t>
  </si>
  <si>
    <t>CADDY MAXi</t>
  </si>
  <si>
    <t>2010年11月</t>
  </si>
  <si>
    <t>https://www.autostar.com.tw/p1_buy_detail.php?detail_PKey=2966</t>
  </si>
  <si>
    <t>A4 AVANT</t>
  </si>
  <si>
    <t>2016年8月</t>
  </si>
  <si>
    <t>https://www.autostar.com.tw/p1_buy_detail.php?detail_PKey=2980</t>
  </si>
  <si>
    <t>保時捷         Porsche</t>
  </si>
  <si>
    <t>2014年4月</t>
  </si>
  <si>
    <t>https://www.autostar.com.tw/p1_buy_detail.php?detail_PKey=3002</t>
  </si>
  <si>
    <t>PHAETON</t>
  </si>
  <si>
    <t>2004年8月</t>
  </si>
  <si>
    <t>汽油/黑</t>
  </si>
  <si>
    <t>https://www.autostar.com.tw/p1_buy_detail.php?detail_PKey=1524</t>
  </si>
  <si>
    <t>寶馬               Bmw</t>
  </si>
  <si>
    <t xml:space="preserve">5系列 旅行車 </t>
  </si>
  <si>
    <t>2005年9月</t>
  </si>
  <si>
    <t>https://www.autostar.com.tw/p1_buy_detail.php?detail_PKey=1585</t>
  </si>
  <si>
    <t>斯克達         Skoda</t>
  </si>
  <si>
    <t>SUPER B</t>
  </si>
  <si>
    <t>2011年4月</t>
  </si>
  <si>
    <t>https://www.autostar.com.tw/p1_buy_detail.php?detail_PKey=3056</t>
  </si>
  <si>
    <t>PASSAT</t>
  </si>
  <si>
    <t>2009年8月</t>
  </si>
  <si>
    <t>汽油/銀</t>
  </si>
  <si>
    <t>https://www.autostar.com.tw/p1_buy_detail.php?detail_PKey=3057</t>
  </si>
  <si>
    <t>PASSAT CC</t>
  </si>
  <si>
    <t>2009年11月</t>
  </si>
  <si>
    <t>柴油/黑</t>
  </si>
  <si>
    <t>https://www.autostar.com.tw/p1_buy_detail.php?detail_PKey=2953</t>
  </si>
  <si>
    <t>FABIA COMBI</t>
  </si>
  <si>
    <t>2012年11月</t>
  </si>
  <si>
    <t>https://www.autostar.com.tw/p1_buy_detail.php?detail_PKey=2955</t>
  </si>
  <si>
    <t>TIGUAN</t>
  </si>
  <si>
    <t>2009年12月</t>
  </si>
  <si>
    <t>https://www.autostar.com.tw/p1_buy_detail.php?detail_PKey=2957</t>
  </si>
  <si>
    <t>Q5</t>
  </si>
  <si>
    <t>2009年7月</t>
  </si>
  <si>
    <t>https://www.autostar.com.tw/p1_buy_detail.php?detail_PKey=2961</t>
  </si>
  <si>
    <t>2008年8月</t>
  </si>
  <si>
    <t>https://www.autostar.com.tw/p1_buy_detail.php?detail_PKey=1043</t>
  </si>
  <si>
    <t>2015年5月</t>
  </si>
  <si>
    <t>https://www.autostar.com.tw/p1_buy_detail.php?detail_PKey=1046</t>
  </si>
  <si>
    <t>VENTO</t>
  </si>
  <si>
    <t>2014年6月</t>
  </si>
  <si>
    <t>https://www.autostar.com.tw/p1_buy_detail.php?detail_PKey=1048</t>
  </si>
  <si>
    <t>2010年3月</t>
  </si>
  <si>
    <t>https://www.autostar.com.tw/p1_buy_detail.php?detail_PKey=1049</t>
  </si>
  <si>
    <t>GOLF</t>
  </si>
  <si>
    <t>汽油/深藍</t>
  </si>
  <si>
    <t>https://www.autostar.com.tw/p1_buy_detail.php?detail_PKey=1050</t>
  </si>
  <si>
    <t>2006年11月</t>
  </si>
  <si>
    <t>汽油/紅</t>
  </si>
  <si>
    <t>https://www.autostar.com.tw/p1_buy_detail.php?detail_PKey=1051</t>
  </si>
  <si>
    <t>JETTA</t>
  </si>
  <si>
    <t>2012年3月</t>
  </si>
  <si>
    <t>https://www.autostar.com.tw/p1_buy_detail.php?detail_PKey=1052</t>
  </si>
  <si>
    <t>車輛過戶繳銷進度表</t>
  </si>
  <si>
    <t>繳銷/停駛</t>
  </si>
  <si>
    <t>牌照稅退款</t>
  </si>
  <si>
    <t>燃料稅退款</t>
  </si>
  <si>
    <t>強制險退保</t>
  </si>
  <si>
    <t>Audi</t>
  </si>
  <si>
    <t>奧迪</t>
  </si>
  <si>
    <t>Bum</t>
  </si>
  <si>
    <t>寶馬</t>
  </si>
  <si>
    <t>Volkswagen</t>
  </si>
  <si>
    <t>福斯</t>
  </si>
  <si>
    <t>Honds</t>
  </si>
  <si>
    <t>本田</t>
  </si>
  <si>
    <t>Hyundai</t>
  </si>
  <si>
    <t>現代</t>
  </si>
  <si>
    <t>Lexus</t>
  </si>
  <si>
    <t>凌志</t>
  </si>
  <si>
    <t>Luxgen</t>
  </si>
  <si>
    <t>納智捷</t>
  </si>
  <si>
    <t>Mazda</t>
  </si>
  <si>
    <t>馬自達</t>
  </si>
  <si>
    <t>Mercedes-Benz</t>
  </si>
  <si>
    <t>賓士</t>
  </si>
  <si>
    <t>Mini</t>
  </si>
  <si>
    <t>迷你</t>
  </si>
  <si>
    <t>Mitsubishi</t>
  </si>
  <si>
    <t>三菱</t>
  </si>
  <si>
    <t>Nissan</t>
  </si>
  <si>
    <t>日產</t>
  </si>
  <si>
    <t>Skoda</t>
  </si>
  <si>
    <t>斯克達</t>
  </si>
  <si>
    <t>Suzki</t>
  </si>
  <si>
    <t>鈴木</t>
  </si>
  <si>
    <t>Toyota</t>
  </si>
  <si>
    <t>豐田</t>
  </si>
  <si>
    <t>Volvo</t>
  </si>
  <si>
    <t>富豪</t>
  </si>
  <si>
    <t>Ford</t>
  </si>
  <si>
    <t>Jaguar</t>
  </si>
  <si>
    <t>捷豹</t>
  </si>
  <si>
    <t>Kia</t>
  </si>
  <si>
    <t>起亞</t>
  </si>
  <si>
    <t>Maserati</t>
  </si>
  <si>
    <t>瑪莎拉蒂</t>
  </si>
  <si>
    <t>Oprl</t>
  </si>
  <si>
    <t>歐昔</t>
  </si>
  <si>
    <t>Daihatsu</t>
  </si>
  <si>
    <t>大發</t>
  </si>
  <si>
    <t>Peugeot</t>
  </si>
  <si>
    <t>寶獅</t>
  </si>
  <si>
    <t>Citroen</t>
  </si>
  <si>
    <t>雪鐵龍</t>
  </si>
  <si>
    <t>Porsche</t>
  </si>
  <si>
    <t>保時捷</t>
  </si>
  <si>
    <t>Bentley</t>
  </si>
  <si>
    <t>賓利</t>
  </si>
  <si>
    <t>Rolls-Royce</t>
  </si>
  <si>
    <t>勞斯萊斯</t>
  </si>
  <si>
    <t>Saab</t>
  </si>
  <si>
    <t>紳寶</t>
  </si>
  <si>
    <t>Smart</t>
  </si>
  <si>
    <t>司麥特</t>
  </si>
  <si>
    <t>Subaru</t>
  </si>
  <si>
    <t>速霸陸</t>
  </si>
  <si>
    <t>Ferrari</t>
  </si>
  <si>
    <t>法拉利</t>
  </si>
  <si>
    <t>Lamborghini</t>
  </si>
  <si>
    <t>藍寶堅尼</t>
  </si>
  <si>
    <t>Infiniti</t>
  </si>
  <si>
    <t>英菲尼迪</t>
  </si>
  <si>
    <t>2010Golf Gti</t>
  </si>
  <si>
    <t>AQX</t>
  </si>
  <si>
    <t>-</t>
  </si>
  <si>
    <t>過戶</t>
  </si>
  <si>
    <t>2010 VOLVO V50</t>
  </si>
  <si>
    <t>YG</t>
  </si>
  <si>
    <t>過戶力齊給50K</t>
  </si>
  <si>
    <t>TAC</t>
  </si>
  <si>
    <t>7-11禮卷按讚登記名單</t>
  </si>
  <si>
    <t>客戶</t>
  </si>
  <si>
    <t>住址</t>
  </si>
  <si>
    <t>入帳</t>
  </si>
  <si>
    <t>公司零用金支出明細</t>
  </si>
  <si>
    <t>編號</t>
  </si>
  <si>
    <t>品項</t>
  </si>
  <si>
    <t>金額</t>
  </si>
  <si>
    <t>結餘款</t>
  </si>
  <si>
    <t>杰運汽車滙款帳號</t>
  </si>
  <si>
    <t>銀行 : 台北富邦銀行天母分行 ( 銀行代碼 012 )</t>
  </si>
  <si>
    <t>帳號 :  727168712380</t>
  </si>
  <si>
    <t>戶名 : 劉承鈞</t>
  </si>
  <si>
    <t>聯絡電話 : 02-2823-0139</t>
  </si>
  <si>
    <t>傳真號碼 : 02-2823-5668</t>
  </si>
  <si>
    <t>四月</t>
  </si>
  <si>
    <t>星期一</t>
  </si>
  <si>
    <t>彤</t>
  </si>
  <si>
    <t>昀</t>
  </si>
  <si>
    <t>為</t>
  </si>
  <si>
    <t>祺</t>
  </si>
  <si>
    <t xml:space="preserve">PS:業務勿重複休假.假日輪休. (業務8天假.保養美容7天假).要調假請早五天前申請.    </t>
  </si>
  <si>
    <t>煒</t>
  </si>
  <si>
    <t>昀.煒半天</t>
  </si>
  <si>
    <t>附註：</t>
  </si>
  <si>
    <t>祺.賴</t>
  </si>
  <si>
    <t>賴</t>
  </si>
  <si>
    <t>昀.賴</t>
  </si>
  <si>
    <t xml:space="preserve">ps:業務勿重複休假.假日輪休. (業務8天假.保養美容7天假).要調假請早五天前申請.                   </t>
  </si>
  <si>
    <t xml:space="preserve">附註：業務勿重複休假.假日輪休. (業務8天假.保養美容7天假).要調假請早五天前申請.     </t>
  </si>
  <si>
    <t xml:space="preserve">附註：業務勿重複休假.假日輪休. (業務8天假.保養美容7天假).要調假請早五天前申請.    </t>
  </si>
  <si>
    <t>森</t>
  </si>
  <si>
    <t>祺.為</t>
  </si>
  <si>
    <t>森.祺</t>
  </si>
  <si>
    <t xml:space="preserve">附註：ps:業務勿重複休假.假日輪休. (業務8天假.保養美容7天假).要調假請早五天前申請.    </t>
  </si>
  <si>
    <t>附註：業務勿重複休假.假日輪休. (業務8天假.保養美容7天假).要調假請早五天前申請</t>
  </si>
  <si>
    <t>杰運 業務   12 月份 客戶登記表</t>
  </si>
  <si>
    <t>序</t>
  </si>
  <si>
    <t>簽約日</t>
  </si>
  <si>
    <t>交車日</t>
  </si>
  <si>
    <t>銷售金額</t>
  </si>
  <si>
    <t>備   註</t>
  </si>
  <si>
    <t>/</t>
  </si>
  <si>
    <t>$</t>
  </si>
  <si>
    <t xml:space="preserve">Volkswagan 2019 </t>
  </si>
  <si>
    <t>車型年份</t>
  </si>
  <si>
    <t>建議售價</t>
  </si>
  <si>
    <t>銷售包裝</t>
  </si>
  <si>
    <t>業代佣金</t>
  </si>
  <si>
    <t>掛牌獎金(可折)</t>
  </si>
  <si>
    <t>其他附註2%</t>
  </si>
  <si>
    <t>MY19-9</t>
  </si>
  <si>
    <t>POLO 230 TSI TL</t>
  </si>
  <si>
    <t>搶先響應貨物政策:限量優惠價$698000</t>
  </si>
  <si>
    <t>68,000+14,000=82,000</t>
  </si>
  <si>
    <t>POLO 230 TSI CL</t>
  </si>
  <si>
    <t xml:space="preserve">福財貸款專案:                                                                        1.低頭款50,000，首年低月付3,999，60期附尾款，利率2.69%起優惠貸款；再加增第五年延長保固(市價14,000元)                 2.或【50萬36期零利率；再加增第五年延長保固(市價14000元】                                                                                        現金方案         1.優惠現金折扣$20,000元  2.或【免費第五年延長保固(市價14000元】+再加贈首兩年(或1萬/3萬公里)標準定期保養(市價13,000元)           </t>
  </si>
  <si>
    <t>40,000+15,000=55,000</t>
  </si>
  <si>
    <t>GOLF 280 TSI CL</t>
  </si>
  <si>
    <t xml:space="preserve">福財貸款專案:                                                                        1.低頭款98,000，首年低月付6,999，60期附尾款，利率2.78%起優惠貸款；再加增第五年延長保固(市價20,500元)                 2.或【60萬30期零利率；再加增第五年延長保固(市價20,500元】                                                                                        現金方案         1.優惠現金折扣$15,000元  2.或【免費第五年延長保固(市價20,500元】    </t>
  </si>
  <si>
    <t>38,000+19,000=57,000</t>
  </si>
  <si>
    <t>GOLFVAR.280 TSI HL</t>
  </si>
  <si>
    <t xml:space="preserve">福財貸款專案:                                                                       1.低頭款128,000，首年低月付6,999，60期附尾款，利率2.96%起優惠貸款；再加增第五年延長保固(市價20,500元)                 2.或【60萬30期零利率；再加增第五年延長保固(市價20,500元】                                                                              現金方案         1.優惠現金折扣$15,000元  2.或【免費第五年延長保固(市價20,500元】    </t>
  </si>
  <si>
    <t>43,000+23,000=66,000</t>
  </si>
  <si>
    <t>TOURAN 280 TSI CL</t>
  </si>
  <si>
    <t xml:space="preserve">福財貸款專案:                                                                       1.低頭款118,000，首年低月付5,999，60期附尾款，利率2.87%起優惠貸款；再加增第五年延長保固(市價22,000元)                 2.或【60萬36期零利率；再加增第五年延長保固(市價22,000元】                                                                              現金方案         1.優惠現金折扣$20,000元  2.或【免費第五年延長保固(市價22,000元】 </t>
  </si>
  <si>
    <t>50,000+24,000=74,000</t>
  </si>
  <si>
    <t>TIGUAN 330TSI CL</t>
  </si>
  <si>
    <t>福財貸款專案:                                                                       1.低頭款158,000，首年低月付6,999，60期附尾款，利率2.92%起優惠貸款；再加增第五年延長保固(市價25,000元)                                                                                         2.或【60萬36期零利率；再加增第五年延長保固(市價25,000元】                                                                                        現金方案         1.優惠現金折扣$20,000元  2.或【免費第五年延長保固(市價25,000元】(IQ+30,000)</t>
  </si>
  <si>
    <t>52,000+26,000=78,000</t>
  </si>
  <si>
    <t>TIGUAN 330TSI CL特仕車</t>
  </si>
  <si>
    <t>福財貸款專案:                                                                       1.低頭款158,000，首年低月付6,999，60期附尾款，利率2.92%起優惠貸款；再加增第五年延長保固(市價25,000元)                                                                                         2.或【60萬36期零利率；再加增第五年延長保固(市價25,000元】                                                                              現金方案         1.優惠現金折扣$20,000元  2.或【免費第五年延長保固(市價25,000元】(IQ+30,000)</t>
  </si>
  <si>
    <t>TIGUAN Allspace 330TSI CL</t>
  </si>
  <si>
    <t>福財貸款專案:                                                                       1.低頭款158,000，首年低月付6,999，60期附尾款，利率2.97%起優惠貸款；再加增第五年延長保固(市價25,000元)                                                                                         2.或【60萬36期零利率；再加增第五年延長保固(市價25,000元】                                                                              現金方案         1.優惠現金折扣$20,000元  2.或【免費第五年延長保固(市價25,000元】(</t>
  </si>
  <si>
    <t>55,000+28,000=83,000</t>
  </si>
  <si>
    <t>SHARAN 280 TSI CL</t>
  </si>
  <si>
    <t>福財貸款專案:                                                                       1.低頭款158,000，首年低月付9,999，60期附尾款，利率2.87%起優惠貸款；再加增第五年延長保固(市價26,000元)                                                                                         2.或【72萬36期零利率；再加增第五年延長保固(市價26,000元】                                                                                       現金方案         1.優惠現金折扣$30,000元等方案  2.或【免費第五年延長保固(市價26,000元】</t>
  </si>
  <si>
    <t>68,000+31,000=99,000</t>
  </si>
  <si>
    <t>AutoStar估車詢問資料</t>
  </si>
  <si>
    <t>先生/小姐</t>
  </si>
  <si>
    <t>顏色</t>
  </si>
  <si>
    <t>地區:</t>
  </si>
  <si>
    <t>年份</t>
  </si>
  <si>
    <t>賣價</t>
  </si>
  <si>
    <t>日期     /</t>
  </si>
  <si>
    <t>杰運汽車訂金過戶保養帳目表</t>
  </si>
  <si>
    <t>序號</t>
  </si>
  <si>
    <t>項目</t>
  </si>
  <si>
    <t>出帳</t>
  </si>
  <si>
    <t>餘額</t>
  </si>
  <si>
    <t>備 註</t>
  </si>
  <si>
    <t xml:space="preserve"> </t>
  </si>
  <si>
    <t>行照正本</t>
  </si>
  <si>
    <t>牌登正本</t>
  </si>
  <si>
    <t>出廠正本</t>
  </si>
  <si>
    <t>KEY</t>
  </si>
  <si>
    <t>保卡</t>
  </si>
  <si>
    <t>證件影本</t>
  </si>
  <si>
    <t>NISSAN</t>
  </si>
  <si>
    <t>X-Trail 經典版</t>
  </si>
  <si>
    <t>2025年8月</t>
  </si>
  <si>
    <t>2025年08月21日</t>
  </si>
  <si>
    <t>2,573公里</t>
  </si>
  <si>
    <t>85.9萬</t>
  </si>
  <si>
    <t>杰運汽車車籍資料</t>
  </si>
  <si>
    <t>身分ID</t>
  </si>
  <si>
    <t>牌登</t>
  </si>
  <si>
    <t>出廠證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</si>
</sst>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76" formatCode="#,##0_);[Red]\(#,##0\)"/>
    <numFmt numFmtId="177" formatCode="000,000&quot;公里&quot;"/>
    <numFmt numFmtId="178" formatCode="00.0&quot;萬&quot;"/>
    <numFmt numFmtId="179" formatCode="m&quot;月&quot;d&quot;日&quot;"/>
    <numFmt numFmtId="180" formatCode="dd"/>
    <numFmt numFmtId="181" formatCode="[&gt;99999999]0000\-000\-000;000\-000\-000"/>
    <numFmt numFmtId="182" formatCode="&quot;$&quot;#,##0.00_);[Red]\(&quot;$&quot;#,##0.00\)"/>
  </numFmts>
  <fonts count="74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4"/>
      <color theme="1"/>
      <name val="新細明體"/>
      <family val="1"/>
      <charset val="136"/>
      <scheme val="minor"/>
    </font>
    <font>
      <b/>
      <sz val="24"/>
      <color theme="1"/>
      <name val="新細明體"/>
      <family val="1"/>
      <charset val="136"/>
      <scheme val="minor"/>
    </font>
    <font>
      <sz val="10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20"/>
      <color theme="1"/>
      <name val="新細明體"/>
      <family val="2"/>
      <scheme val="minor"/>
    </font>
    <font>
      <sz val="20"/>
      <color theme="1"/>
      <name val="新細明體"/>
      <family val="1"/>
      <charset val="136"/>
      <scheme val="minor"/>
    </font>
    <font>
      <sz val="24"/>
      <color theme="1"/>
      <name val="新細明體"/>
      <family val="2"/>
      <scheme val="minor"/>
    </font>
    <font>
      <sz val="20"/>
      <name val="微軟正黑體"/>
      <family val="2"/>
      <charset val="136"/>
    </font>
    <font>
      <u/>
      <sz val="12"/>
      <color theme="10"/>
      <name val="新細明體"/>
      <family val="2"/>
      <scheme val="minor"/>
    </font>
    <font>
      <sz val="30"/>
      <color theme="1"/>
      <name val="新細明體"/>
      <family val="2"/>
      <scheme val="minor"/>
    </font>
    <font>
      <sz val="28"/>
      <color theme="1"/>
      <name val="新細明體"/>
      <family val="2"/>
      <scheme val="minor"/>
    </font>
    <font>
      <sz val="28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b/>
      <sz val="18"/>
      <color theme="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45"/>
      <color theme="1"/>
      <name val="微軟正黑體"/>
      <family val="2"/>
      <charset val="136"/>
    </font>
    <font>
      <sz val="11"/>
      <name val="新細明體"/>
      <family val="2"/>
      <scheme val="minor"/>
    </font>
    <font>
      <sz val="1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color theme="1"/>
      <name val="新細明體"/>
      <family val="2"/>
      <scheme val="major"/>
    </font>
    <font>
      <sz val="16"/>
      <color theme="1"/>
      <name val="新細明體"/>
      <family val="2"/>
      <scheme val="minor"/>
    </font>
    <font>
      <sz val="16"/>
      <color theme="1"/>
      <name val="微軟正黑體"/>
      <family val="2"/>
      <charset val="136"/>
    </font>
    <font>
      <b/>
      <sz val="11"/>
      <color theme="0"/>
      <name val="新細明體"/>
      <family val="2"/>
      <scheme val="major"/>
    </font>
    <font>
      <b/>
      <sz val="11"/>
      <color theme="0"/>
      <name val="微軟正黑體"/>
      <family val="2"/>
      <charset val="136"/>
    </font>
    <font>
      <sz val="36"/>
      <color theme="4" tint="-0.24994659260841701"/>
      <name val="新細明體"/>
      <family val="2"/>
      <scheme val="minor"/>
    </font>
    <font>
      <sz val="36"/>
      <color theme="4" tint="-0.24994659260841701"/>
      <name val="微軟正黑體"/>
      <family val="2"/>
      <charset val="136"/>
    </font>
    <font>
      <b/>
      <sz val="28"/>
      <color theme="0"/>
      <name val="新細明體"/>
      <family val="2"/>
      <scheme val="major"/>
    </font>
    <font>
      <b/>
      <sz val="28"/>
      <color theme="0"/>
      <name val="微軟正黑體"/>
      <family val="2"/>
      <charset val="136"/>
    </font>
    <font>
      <sz val="10"/>
      <name val="微軟正黑體"/>
      <family val="2"/>
      <charset val="136"/>
    </font>
    <font>
      <sz val="36"/>
      <color theme="1"/>
      <name val="微軟正黑體"/>
      <family val="2"/>
      <charset val="136"/>
    </font>
    <font>
      <sz val="36"/>
      <name val="微軟正黑體"/>
      <family val="2"/>
      <charset val="136"/>
    </font>
    <font>
      <b/>
      <sz val="20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20"/>
      <color theme="1"/>
      <name val="Calibri"/>
      <family val="2"/>
    </font>
    <font>
      <sz val="20"/>
      <color theme="1"/>
      <name val="新細明體"/>
      <family val="1"/>
      <charset val="136"/>
    </font>
    <font>
      <sz val="14"/>
      <color theme="1"/>
      <name val="微軟正黑體"/>
      <family val="2"/>
      <charset val="136"/>
    </font>
    <font>
      <b/>
      <sz val="12"/>
      <color theme="1"/>
      <name val="文鼎中特黑"/>
      <family val="3"/>
      <charset val="136"/>
    </font>
    <font>
      <sz val="12"/>
      <color theme="3" tint="0.39997558519241921"/>
      <name val="新細明體"/>
      <family val="2"/>
      <scheme val="minor"/>
    </font>
    <font>
      <sz val="20"/>
      <color theme="1"/>
      <name val="細明體"/>
      <family val="3"/>
      <charset val="136"/>
    </font>
    <font>
      <sz val="24"/>
      <color theme="1"/>
      <name val="新細明體"/>
      <family val="1"/>
      <charset val="136"/>
      <scheme val="minor"/>
    </font>
    <font>
      <b/>
      <sz val="2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sz val="24"/>
      <color rgb="FF002060"/>
      <name val="微軟正黑體"/>
      <family val="2"/>
      <charset val="136"/>
    </font>
    <font>
      <b/>
      <sz val="28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36"/>
      <color rgb="FFFFFF00"/>
      <name val="微軟正黑體"/>
      <family val="2"/>
      <charset val="136"/>
    </font>
    <font>
      <sz val="36"/>
      <color theme="3" tint="0.39997558519241921"/>
      <name val="微軟正黑體"/>
      <family val="2"/>
      <charset val="136"/>
    </font>
    <font>
      <sz val="36"/>
      <color rgb="FF7030A0"/>
      <name val="微軟正黑體"/>
      <family val="2"/>
      <charset val="136"/>
    </font>
    <font>
      <sz val="36"/>
      <color rgb="FFFF0000"/>
      <name val="微軟正黑體"/>
      <family val="2"/>
      <charset val="136"/>
    </font>
    <font>
      <sz val="24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36"/>
      <color rgb="FF0070C0"/>
      <name val="微軟正黑體"/>
      <family val="2"/>
      <charset val="136"/>
    </font>
    <font>
      <sz val="36"/>
      <color theme="4"/>
      <name val="微軟正黑體"/>
      <family val="2"/>
      <charset val="136"/>
    </font>
    <font>
      <sz val="36"/>
      <color theme="7" tint="-0.499984740745262"/>
      <name val="微軟正黑體"/>
      <family val="2"/>
      <charset val="136"/>
    </font>
    <font>
      <sz val="16"/>
      <color rgb="FF0070C0"/>
      <name val="微軟正黑體"/>
      <family val="2"/>
      <charset val="136"/>
    </font>
    <font>
      <sz val="26"/>
      <color rgb="FF0070C0"/>
      <name val="微軟正黑體"/>
      <family val="2"/>
      <charset val="136"/>
    </font>
    <font>
      <sz val="28"/>
      <color theme="1"/>
      <name val="微軟正黑體"/>
      <family val="2"/>
      <charset val="136"/>
    </font>
    <font>
      <sz val="26"/>
      <color theme="1"/>
      <name val="微軟正黑體"/>
      <family val="2"/>
      <charset val="136"/>
    </font>
    <font>
      <b/>
      <sz val="42"/>
      <color theme="1"/>
      <name val="微軟正黑體"/>
      <family val="2"/>
      <charset val="136"/>
    </font>
    <font>
      <b/>
      <sz val="55"/>
      <color theme="1"/>
      <name val="微軟正黑體"/>
      <family val="2"/>
      <charset val="136"/>
    </font>
    <font>
      <sz val="12"/>
      <color theme="1"/>
      <name val="Microsoft JhengHei Light"/>
      <family val="2"/>
      <charset val="136"/>
    </font>
    <font>
      <b/>
      <sz val="12"/>
      <color theme="1"/>
      <name val="新細明體"/>
      <family val="2"/>
      <scheme val="minor"/>
    </font>
    <font>
      <sz val="12"/>
      <color indexed="8"/>
      <name val="新細明體"/>
      <family val="1"/>
      <charset val="136"/>
    </font>
    <font>
      <b/>
      <sz val="19"/>
      <color rgb="FF333333"/>
      <name val="Arial"/>
      <family val="2"/>
    </font>
    <font>
      <b/>
      <sz val="48"/>
      <color theme="1"/>
      <name val="微軟正黑體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indexed="9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theme="0" tint="-0.1498764000366222"/>
      </right>
      <top/>
      <bottom/>
      <diagonal/>
    </border>
    <border>
      <left/>
      <right style="thin">
        <color theme="0" tint="-0.1498764000366222"/>
      </right>
      <top style="thin">
        <color theme="0" tint="-0.1498764000366222"/>
      </top>
      <bottom/>
      <diagonal/>
    </border>
    <border>
      <left style="thin">
        <color theme="0" tint="-0.1498764000366222"/>
      </left>
      <right/>
      <top/>
      <bottom style="thin">
        <color theme="0" tint="-0.1498764000366222"/>
      </bottom>
      <diagonal/>
    </border>
    <border>
      <left style="thin">
        <color theme="0" tint="-0.1498764000366222"/>
      </left>
      <right/>
      <top style="thin">
        <color theme="0" tint="-0.1498764000366222"/>
      </top>
      <bottom/>
      <diagonal/>
    </border>
    <border>
      <left style="thin">
        <color theme="0" tint="-0.1498764000366222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FFFFFF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theme="0" tint="-0.1498764000366222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12" fillId="0" borderId="0"/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180" fontId="7" fillId="0" borderId="0">
      <alignment horizontal="left" vertical="top" wrapText="1" indent="1"/>
    </xf>
    <xf numFmtId="180" fontId="26" fillId="0" borderId="23">
      <alignment horizontal="left" vertical="top" wrapText="1" indent="1"/>
    </xf>
    <xf numFmtId="180" fontId="23" fillId="0" borderId="26">
      <alignment horizontal="left" vertical="center" wrapText="1" indent="1"/>
    </xf>
    <xf numFmtId="180" fontId="27" fillId="0" borderId="24">
      <alignment horizontal="left" vertical="center" wrapText="1" indent="1"/>
    </xf>
    <xf numFmtId="0" fontId="29" fillId="7" borderId="28">
      <alignment horizontal="left" vertical="center" indent="1"/>
    </xf>
    <xf numFmtId="0" fontId="29" fillId="8" borderId="28">
      <alignment horizontal="left" indent="1"/>
    </xf>
    <xf numFmtId="0" fontId="31" fillId="0" borderId="0">
      <alignment horizontal="left" indent="3"/>
    </xf>
    <xf numFmtId="0" fontId="33" fillId="8" borderId="0">
      <alignment horizontal="center"/>
    </xf>
    <xf numFmtId="0" fontId="71" fillId="0" borderId="0">
      <alignment vertical="center"/>
    </xf>
  </cellStyleXfs>
  <cellXfs count="222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wrapText="1"/>
    </xf>
    <xf numFmtId="0" fontId="9" fillId="2" borderId="0" xfId="0" applyFont="1" applyFill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11" fillId="0" borderId="6" xfId="0" applyFont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0" fillId="2" borderId="0" xfId="0" applyFill="1" applyAlignment="1">
      <alignment horizontal="center" wrapText="1"/>
    </xf>
    <xf numFmtId="0" fontId="12" fillId="2" borderId="1" xfId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1" xfId="0" applyFill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8" fillId="0" borderId="1" xfId="0" applyFont="1" applyBorder="1"/>
    <xf numFmtId="0" fontId="9" fillId="0" borderId="0" xfId="0" applyFont="1"/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" fillId="0" borderId="0" xfId="2" applyAlignment="1">
      <alignment vertical="center"/>
    </xf>
    <xf numFmtId="0" fontId="2" fillId="0" borderId="0" xfId="2" applyAlignment="1">
      <alignment horizontal="center" vertical="center"/>
    </xf>
    <xf numFmtId="0" fontId="16" fillId="0" borderId="7" xfId="2" applyFont="1" applyBorder="1" applyAlignment="1">
      <alignment horizontal="center" vertical="center"/>
    </xf>
    <xf numFmtId="0" fontId="16" fillId="0" borderId="8" xfId="2" applyFont="1" applyBorder="1" applyAlignment="1">
      <alignment horizontal="center" vertical="center"/>
    </xf>
    <xf numFmtId="0" fontId="16" fillId="0" borderId="9" xfId="2" applyFont="1" applyBorder="1" applyAlignment="1">
      <alignment horizontal="center" vertical="center"/>
    </xf>
    <xf numFmtId="0" fontId="16" fillId="0" borderId="10" xfId="2" applyFont="1" applyBorder="1" applyAlignment="1">
      <alignment horizontal="center" vertical="center"/>
    </xf>
    <xf numFmtId="0" fontId="16" fillId="0" borderId="1" xfId="2" applyFont="1" applyBorder="1" applyAlignment="1">
      <alignment horizontal="center" vertical="center"/>
    </xf>
    <xf numFmtId="0" fontId="16" fillId="0" borderId="11" xfId="2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12" xfId="2" applyFont="1" applyBorder="1" applyAlignment="1">
      <alignment horizontal="center" vertical="center"/>
    </xf>
    <xf numFmtId="0" fontId="1" fillId="0" borderId="16" xfId="3" applyFont="1" applyBorder="1" applyAlignment="1">
      <alignment vertical="center"/>
    </xf>
    <xf numFmtId="0" fontId="1" fillId="0" borderId="17" xfId="3" applyFont="1" applyBorder="1" applyAlignment="1">
      <alignment vertical="center"/>
    </xf>
    <xf numFmtId="0" fontId="1" fillId="0" borderId="18" xfId="3" applyFont="1" applyBorder="1" applyAlignment="1">
      <alignment vertical="center"/>
    </xf>
    <xf numFmtId="0" fontId="1" fillId="0" borderId="20" xfId="3" applyFont="1" applyBorder="1" applyAlignment="1">
      <alignment vertical="center"/>
    </xf>
    <xf numFmtId="0" fontId="18" fillId="0" borderId="0" xfId="3" applyFont="1" applyAlignment="1">
      <alignment vertical="center"/>
    </xf>
    <xf numFmtId="0" fontId="25" fillId="0" borderId="23" xfId="6" applyNumberFormat="1" applyFont="1" applyAlignment="1">
      <alignment horizontal="left" vertical="top" wrapText="1" indent="1"/>
    </xf>
    <xf numFmtId="0" fontId="25" fillId="0" borderId="25" xfId="6" applyNumberFormat="1" applyFont="1" applyBorder="1" applyAlignment="1">
      <alignment horizontal="left" vertical="top" wrapText="1" indent="1"/>
    </xf>
    <xf numFmtId="0" fontId="25" fillId="0" borderId="27" xfId="6" applyNumberFormat="1" applyFont="1" applyBorder="1" applyAlignment="1">
      <alignment horizontal="left" vertical="top" wrapText="1" indent="1"/>
    </xf>
    <xf numFmtId="0" fontId="30" fillId="7" borderId="28" xfId="9" applyFont="1" applyAlignment="1">
      <alignment horizontal="left" vertical="center" indent="1"/>
    </xf>
    <xf numFmtId="0" fontId="30" fillId="8" borderId="28" xfId="10" applyFont="1" applyAlignment="1">
      <alignment horizontal="left" vertical="center" indent="1"/>
    </xf>
    <xf numFmtId="0" fontId="24" fillId="9" borderId="0" xfId="4" applyFont="1" applyFill="1"/>
    <xf numFmtId="0" fontId="32" fillId="0" borderId="0" xfId="11" applyFont="1" applyAlignment="1">
      <alignment horizontal="left" indent="3"/>
    </xf>
    <xf numFmtId="0" fontId="34" fillId="8" borderId="0" xfId="12" applyFont="1" applyAlignment="1">
      <alignment horizontal="center"/>
    </xf>
    <xf numFmtId="0" fontId="35" fillId="0" borderId="0" xfId="4" applyFont="1"/>
    <xf numFmtId="0" fontId="36" fillId="0" borderId="23" xfId="6" applyNumberFormat="1" applyFont="1" applyAlignment="1">
      <alignment horizontal="left" vertical="top" wrapText="1" indent="1"/>
    </xf>
    <xf numFmtId="0" fontId="38" fillId="0" borderId="1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9" fillId="0" borderId="0" xfId="3" applyFont="1" applyAlignment="1">
      <alignment vertical="center"/>
    </xf>
    <xf numFmtId="0" fontId="0" fillId="0" borderId="1" xfId="0" applyBorder="1"/>
    <xf numFmtId="0" fontId="42" fillId="0" borderId="29" xfId="0" applyFont="1" applyBorder="1" applyAlignment="1">
      <alignment vertical="center" wrapText="1"/>
    </xf>
    <xf numFmtId="0" fontId="41" fillId="0" borderId="30" xfId="0" applyFont="1" applyBorder="1" applyAlignment="1">
      <alignment vertical="center" wrapText="1"/>
    </xf>
    <xf numFmtId="0" fontId="41" fillId="0" borderId="16" xfId="0" applyFont="1" applyBorder="1" applyAlignment="1">
      <alignment vertical="center" wrapText="1"/>
    </xf>
    <xf numFmtId="0" fontId="42" fillId="0" borderId="16" xfId="0" applyFont="1" applyBorder="1" applyAlignment="1">
      <alignment horizontal="center" vertical="center"/>
    </xf>
    <xf numFmtId="0" fontId="42" fillId="0" borderId="16" xfId="0" applyFont="1" applyBorder="1" applyAlignment="1">
      <alignment vertical="center"/>
    </xf>
    <xf numFmtId="0" fontId="8" fillId="0" borderId="0" xfId="0" applyFont="1"/>
    <xf numFmtId="0" fontId="0" fillId="0" borderId="1" xfId="0" applyBorder="1" applyAlignment="1">
      <alignment horizontal="center" vertical="center"/>
    </xf>
    <xf numFmtId="0" fontId="43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0" fillId="0" borderId="8" xfId="0" applyBorder="1"/>
    <xf numFmtId="0" fontId="0" fillId="0" borderId="7" xfId="0" applyBorder="1"/>
    <xf numFmtId="0" fontId="44" fillId="0" borderId="20" xfId="0" applyFont="1" applyBorder="1" applyAlignment="1">
      <alignment horizontal="center" vertical="center"/>
    </xf>
    <xf numFmtId="0" fontId="44" fillId="0" borderId="9" xfId="0" applyFont="1" applyBorder="1" applyAlignment="1">
      <alignment horizontal="center" vertical="center"/>
    </xf>
    <xf numFmtId="0" fontId="0" fillId="2" borderId="0" xfId="0" applyFill="1"/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45" fillId="0" borderId="0" xfId="0" applyFont="1"/>
    <xf numFmtId="0" fontId="15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46" fillId="0" borderId="13" xfId="0" applyFont="1" applyBorder="1" applyAlignment="1">
      <alignment vertical="center" wrapText="1"/>
    </xf>
    <xf numFmtId="0" fontId="47" fillId="0" borderId="1" xfId="0" applyFont="1" applyBorder="1" applyAlignment="1">
      <alignment horizontal="center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49" fillId="0" borderId="10" xfId="0" applyFont="1" applyBorder="1" applyAlignment="1">
      <alignment horizontal="center" vertical="center"/>
    </xf>
    <xf numFmtId="0" fontId="36" fillId="0" borderId="27" xfId="6" applyNumberFormat="1" applyFont="1" applyBorder="1" applyAlignment="1">
      <alignment horizontal="left" vertical="top" wrapText="1" indent="1"/>
    </xf>
    <xf numFmtId="0" fontId="40" fillId="0" borderId="0" xfId="0" applyFont="1" applyAlignment="1">
      <alignment vertical="center"/>
    </xf>
    <xf numFmtId="0" fontId="40" fillId="2" borderId="0" xfId="0" applyFont="1" applyFill="1" applyAlignment="1">
      <alignment vertical="center"/>
    </xf>
    <xf numFmtId="0" fontId="40" fillId="0" borderId="39" xfId="0" applyFont="1" applyBorder="1" applyAlignment="1">
      <alignment horizontal="left" vertical="top"/>
    </xf>
    <xf numFmtId="0" fontId="40" fillId="2" borderId="39" xfId="0" applyFont="1" applyFill="1" applyBorder="1" applyAlignment="1">
      <alignment horizontal="left" vertical="top"/>
    </xf>
    <xf numFmtId="0" fontId="40" fillId="2" borderId="39" xfId="0" applyFont="1" applyFill="1" applyBorder="1" applyAlignment="1">
      <alignment horizontal="center" vertical="center"/>
    </xf>
    <xf numFmtId="0" fontId="40" fillId="0" borderId="39" xfId="0" applyFont="1" applyBorder="1" applyAlignment="1">
      <alignment horizontal="center" vertical="center"/>
    </xf>
    <xf numFmtId="0" fontId="38" fillId="0" borderId="39" xfId="0" applyFont="1" applyBorder="1" applyAlignment="1">
      <alignment horizontal="center" vertical="center"/>
    </xf>
    <xf numFmtId="0" fontId="53" fillId="2" borderId="39" xfId="0" applyFont="1" applyFill="1" applyBorder="1" applyAlignment="1">
      <alignment horizontal="center" vertical="center"/>
    </xf>
    <xf numFmtId="0" fontId="54" fillId="0" borderId="23" xfId="6" applyNumberFormat="1" applyFont="1" applyAlignment="1">
      <alignment horizontal="left" vertical="top" wrapText="1" indent="1"/>
    </xf>
    <xf numFmtId="0" fontId="55" fillId="0" borderId="23" xfId="6" applyNumberFormat="1" applyFont="1" applyAlignment="1">
      <alignment horizontal="left" vertical="top" wrapText="1" indent="1"/>
    </xf>
    <xf numFmtId="0" fontId="56" fillId="0" borderId="23" xfId="6" applyNumberFormat="1" applyFont="1" applyAlignment="1">
      <alignment horizontal="left" vertical="top" wrapText="1" indent="1"/>
    </xf>
    <xf numFmtId="0" fontId="57" fillId="0" borderId="27" xfId="6" applyNumberFormat="1" applyFont="1" applyBorder="1" applyAlignment="1">
      <alignment horizontal="left" vertical="top" wrapText="1" indent="1"/>
    </xf>
    <xf numFmtId="0" fontId="57" fillId="0" borderId="23" xfId="6" applyNumberFormat="1" applyFont="1" applyAlignment="1">
      <alignment horizontal="left" vertical="top" wrapText="1" indent="1"/>
    </xf>
    <xf numFmtId="0" fontId="37" fillId="0" borderId="0" xfId="4" applyFont="1"/>
    <xf numFmtId="0" fontId="59" fillId="0" borderId="41" xfId="0" applyFont="1" applyBorder="1" applyAlignment="1">
      <alignment horizontal="center" vertical="center"/>
    </xf>
    <xf numFmtId="0" fontId="59" fillId="0" borderId="41" xfId="0" applyFont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 wrapText="1"/>
    </xf>
    <xf numFmtId="0" fontId="59" fillId="0" borderId="42" xfId="0" applyFont="1" applyBorder="1" applyAlignment="1">
      <alignment wrapText="1"/>
    </xf>
    <xf numFmtId="0" fontId="59" fillId="0" borderId="43" xfId="0" applyFont="1" applyBorder="1" applyAlignment="1">
      <alignment horizontal="center" vertical="center" wrapText="1"/>
    </xf>
    <xf numFmtId="0" fontId="59" fillId="0" borderId="44" xfId="0" applyFont="1" applyBorder="1" applyAlignment="1">
      <alignment horizontal="center" vertical="center" wrapText="1"/>
    </xf>
    <xf numFmtId="0" fontId="59" fillId="0" borderId="45" xfId="0" applyFont="1" applyBorder="1"/>
    <xf numFmtId="0" fontId="59" fillId="0" borderId="0" xfId="0" applyFont="1" applyAlignment="1">
      <alignment horizontal="center" vertical="center" wrapText="1"/>
    </xf>
    <xf numFmtId="0" fontId="59" fillId="0" borderId="0" xfId="0" applyFont="1"/>
    <xf numFmtId="0" fontId="59" fillId="0" borderId="49" xfId="0" applyFont="1" applyBorder="1" applyAlignment="1">
      <alignment horizontal="center" vertical="center" wrapText="1"/>
    </xf>
    <xf numFmtId="0" fontId="59" fillId="0" borderId="6" xfId="0" applyFont="1" applyBorder="1" applyAlignment="1">
      <alignment horizontal="center" vertical="center" wrapText="1"/>
    </xf>
    <xf numFmtId="0" fontId="59" fillId="0" borderId="50" xfId="0" applyFont="1" applyBorder="1" applyAlignment="1">
      <alignment wrapText="1"/>
    </xf>
    <xf numFmtId="0" fontId="59" fillId="0" borderId="51" xfId="0" applyFont="1" applyBorder="1"/>
    <xf numFmtId="0" fontId="59" fillId="0" borderId="52" xfId="0" applyFont="1" applyBorder="1" applyAlignment="1">
      <alignment horizontal="center" vertical="center" wrapText="1"/>
    </xf>
    <xf numFmtId="0" fontId="59" fillId="0" borderId="48" xfId="0" applyFont="1" applyBorder="1"/>
    <xf numFmtId="0" fontId="19" fillId="0" borderId="0" xfId="0" applyFont="1"/>
    <xf numFmtId="0" fontId="19" fillId="0" borderId="47" xfId="0" applyFont="1" applyBorder="1"/>
    <xf numFmtId="0" fontId="60" fillId="0" borderId="27" xfId="6" applyNumberFormat="1" applyFont="1" applyBorder="1" applyAlignment="1">
      <alignment horizontal="left" vertical="top" wrapText="1" indent="1"/>
    </xf>
    <xf numFmtId="0" fontId="60" fillId="0" borderId="23" xfId="6" applyNumberFormat="1" applyFont="1" applyAlignment="1">
      <alignment horizontal="left" vertical="top" wrapText="1" indent="1"/>
    </xf>
    <xf numFmtId="0" fontId="61" fillId="0" borderId="23" xfId="6" applyNumberFormat="1" applyFont="1" applyAlignment="1">
      <alignment horizontal="left" vertical="top" wrapText="1" indent="1"/>
    </xf>
    <xf numFmtId="0" fontId="61" fillId="0" borderId="27" xfId="6" applyNumberFormat="1" applyFont="1" applyBorder="1" applyAlignment="1">
      <alignment horizontal="left" vertical="top" wrapText="1" indent="1"/>
    </xf>
    <xf numFmtId="0" fontId="62" fillId="0" borderId="23" xfId="6" applyNumberFormat="1" applyFont="1" applyAlignment="1">
      <alignment horizontal="left" vertical="top" wrapText="1" indent="1"/>
    </xf>
    <xf numFmtId="0" fontId="8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5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64" fillId="0" borderId="23" xfId="6" applyNumberFormat="1" applyFont="1" applyAlignment="1">
      <alignment horizontal="left" vertical="top" wrapText="1" indent="1"/>
    </xf>
    <xf numFmtId="0" fontId="36" fillId="0" borderId="25" xfId="6" applyNumberFormat="1" applyFont="1" applyBorder="1" applyAlignment="1">
      <alignment horizontal="left" vertical="top" wrapText="1" indent="1"/>
    </xf>
    <xf numFmtId="0" fontId="69" fillId="0" borderId="0" xfId="0" applyFont="1"/>
    <xf numFmtId="0" fontId="70" fillId="0" borderId="0" xfId="0" applyFont="1"/>
    <xf numFmtId="0" fontId="72" fillId="0" borderId="0" xfId="0" applyFont="1" applyAlignment="1">
      <alignment horizontal="left" vertical="center" wrapText="1"/>
    </xf>
    <xf numFmtId="0" fontId="1" fillId="0" borderId="19" xfId="3" applyFont="1" applyBorder="1" applyAlignment="1">
      <alignment vertical="center"/>
    </xf>
    <xf numFmtId="0" fontId="41" fillId="0" borderId="15" xfId="0" applyFont="1" applyBorder="1" applyAlignment="1">
      <alignment vertical="center" wrapText="1"/>
    </xf>
    <xf numFmtId="0" fontId="41" fillId="0" borderId="13" xfId="0" applyFont="1" applyBorder="1" applyAlignment="1">
      <alignment vertical="center" wrapText="1"/>
    </xf>
    <xf numFmtId="0" fontId="0" fillId="0" borderId="0" xfId="0"/>
    <xf numFmtId="0" fontId="1" fillId="0" borderId="0" xfId="3" applyFont="1" applyAlignment="1">
      <alignment vertical="center"/>
    </xf>
    <xf numFmtId="0" fontId="24" fillId="0" borderId="0" xfId="4" applyFont="1"/>
    <xf numFmtId="0" fontId="0" fillId="0" borderId="39" xfId="0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176" fontId="0" fillId="2" borderId="3" xfId="0" applyNumberFormat="1" applyFill="1" applyBorder="1" applyAlignment="1">
      <alignment horizontal="center"/>
    </xf>
    <xf numFmtId="177" fontId="0" fillId="2" borderId="1" xfId="0" applyNumberFormat="1" applyFill="1" applyBorder="1" applyAlignment="1">
      <alignment horizontal="right"/>
    </xf>
    <xf numFmtId="178" fontId="0" fillId="2" borderId="1" xfId="0" applyNumberFormat="1" applyFill="1" applyBorder="1" applyAlignment="1">
      <alignment horizontal="center"/>
    </xf>
    <xf numFmtId="176" fontId="0" fillId="2" borderId="1" xfId="0" applyNumberFormat="1" applyFill="1" applyBorder="1" applyAlignment="1">
      <alignment horizontal="center"/>
    </xf>
    <xf numFmtId="179" fontId="0" fillId="0" borderId="0" xfId="0" applyNumberFormat="1"/>
    <xf numFmtId="180" fontId="28" fillId="0" borderId="24" xfId="8" applyFont="1" applyAlignment="1">
      <alignment horizontal="left" vertical="center" wrapText="1" indent="1"/>
    </xf>
    <xf numFmtId="180" fontId="28" fillId="0" borderId="26" xfId="8" applyFont="1" applyBorder="1" applyAlignment="1">
      <alignment horizontal="left" vertical="center" wrapText="1" indent="1"/>
    </xf>
    <xf numFmtId="180" fontId="63" fillId="0" borderId="24" xfId="8" applyFont="1" applyAlignment="1">
      <alignment horizontal="left" vertical="center" wrapText="1" indent="1"/>
    </xf>
    <xf numFmtId="180" fontId="63" fillId="0" borderId="26" xfId="8" applyFont="1" applyBorder="1" applyAlignment="1">
      <alignment horizontal="left" vertical="center" wrapText="1" indent="1"/>
    </xf>
    <xf numFmtId="180" fontId="21" fillId="0" borderId="24" xfId="8" applyFont="1" applyAlignment="1">
      <alignment horizontal="left" vertical="center" wrapText="1" indent="1"/>
    </xf>
    <xf numFmtId="180" fontId="21" fillId="0" borderId="26" xfId="8" applyFont="1" applyBorder="1" applyAlignment="1">
      <alignment horizontal="left" vertical="center" wrapText="1" indent="1"/>
    </xf>
    <xf numFmtId="181" fontId="40" fillId="2" borderId="39" xfId="0" applyNumberFormat="1" applyFont="1" applyFill="1" applyBorder="1" applyAlignment="1">
      <alignment horizontal="center" vertical="center"/>
    </xf>
    <xf numFmtId="181" fontId="40" fillId="0" borderId="39" xfId="0" applyNumberFormat="1" applyFont="1" applyBorder="1" applyAlignment="1">
      <alignment horizontal="center" vertical="center"/>
    </xf>
    <xf numFmtId="180" fontId="26" fillId="0" borderId="0" xfId="6" applyBorder="1" applyAlignment="1">
      <alignment horizontal="left" vertical="top" wrapText="1" indent="1"/>
    </xf>
    <xf numFmtId="180" fontId="26" fillId="0" borderId="1" xfId="6" applyBorder="1" applyAlignment="1">
      <alignment horizontal="center" vertical="center" wrapText="1"/>
    </xf>
    <xf numFmtId="182" fontId="26" fillId="0" borderId="1" xfId="6" applyNumberFormat="1" applyBorder="1" applyAlignment="1">
      <alignment horizontal="center" vertical="center" wrapText="1"/>
    </xf>
    <xf numFmtId="49" fontId="73" fillId="0" borderId="0" xfId="0" applyNumberFormat="1" applyFont="1" applyAlignment="1">
      <alignment horizontal="center" vertical="center" shrinkToFit="1"/>
    </xf>
    <xf numFmtId="49" fontId="67" fillId="0" borderId="0" xfId="0" applyNumberFormat="1" applyFont="1" applyAlignment="1">
      <alignment horizontal="center" vertical="center" shrinkToFit="1"/>
    </xf>
    <xf numFmtId="49" fontId="68" fillId="0" borderId="0" xfId="0" applyNumberFormat="1" applyFont="1" applyAlignment="1">
      <alignment horizontal="center" vertical="center" shrinkToFit="1"/>
    </xf>
    <xf numFmtId="0" fontId="5" fillId="0" borderId="2" xfId="0" applyFont="1" applyBorder="1" applyAlignment="1">
      <alignment horizontal="center" vertical="center"/>
    </xf>
    <xf numFmtId="0" fontId="0" fillId="0" borderId="2" xfId="0" applyBorder="1"/>
    <xf numFmtId="0" fontId="5" fillId="0" borderId="4" xfId="0" applyFont="1" applyBorder="1" applyAlignment="1">
      <alignment horizontal="center"/>
    </xf>
    <xf numFmtId="0" fontId="0" fillId="0" borderId="4" xfId="0" applyBorder="1"/>
    <xf numFmtId="0" fontId="10" fillId="2" borderId="2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/>
    <xf numFmtId="0" fontId="17" fillId="0" borderId="39" xfId="2" applyFont="1" applyBorder="1" applyAlignment="1">
      <alignment horizontal="center" vertical="center"/>
    </xf>
    <xf numFmtId="0" fontId="0" fillId="0" borderId="14" xfId="0" applyBorder="1"/>
    <xf numFmtId="0" fontId="0" fillId="0" borderId="13" xfId="0" applyBorder="1"/>
    <xf numFmtId="0" fontId="19" fillId="0" borderId="0" xfId="3" applyFont="1" applyAlignment="1">
      <alignment horizontal="left" vertical="center"/>
    </xf>
    <xf numFmtId="0" fontId="1" fillId="0" borderId="0" xfId="3" applyFont="1" applyAlignment="1">
      <alignment vertical="center"/>
    </xf>
    <xf numFmtId="0" fontId="21" fillId="0" borderId="54" xfId="3" applyFont="1" applyBorder="1" applyAlignment="1">
      <alignment horizontal="left" vertical="center"/>
    </xf>
    <xf numFmtId="0" fontId="0" fillId="0" borderId="19" xfId="0" applyBorder="1"/>
    <xf numFmtId="0" fontId="0" fillId="0" borderId="20" xfId="0" applyBorder="1"/>
    <xf numFmtId="0" fontId="21" fillId="0" borderId="54" xfId="3" applyFont="1" applyBorder="1" applyAlignment="1">
      <alignment vertical="center"/>
    </xf>
    <xf numFmtId="0" fontId="22" fillId="0" borderId="53" xfId="3" applyFont="1" applyBorder="1" applyAlignment="1">
      <alignment horizontal="center" vertical="center"/>
    </xf>
    <xf numFmtId="0" fontId="0" fillId="0" borderId="22" xfId="0" applyBorder="1"/>
    <xf numFmtId="0" fontId="0" fillId="0" borderId="21" xfId="0" applyBorder="1"/>
    <xf numFmtId="0" fontId="21" fillId="0" borderId="54" xfId="3" applyFont="1" applyBorder="1" applyAlignment="1">
      <alignment horizontal="left" vertical="center" shrinkToFit="1"/>
    </xf>
    <xf numFmtId="180" fontId="24" fillId="0" borderId="26" xfId="7" applyFont="1" applyAlignment="1">
      <alignment horizontal="left" vertical="center" wrapText="1" indent="1"/>
    </xf>
    <xf numFmtId="0" fontId="0" fillId="0" borderId="46" xfId="0" applyBorder="1"/>
    <xf numFmtId="0" fontId="58" fillId="0" borderId="46" xfId="7" applyNumberFormat="1" applyFont="1" applyBorder="1" applyAlignment="1">
      <alignment horizontal="left" vertical="center" wrapText="1" indent="1"/>
    </xf>
    <xf numFmtId="0" fontId="24" fillId="0" borderId="0" xfId="4" applyFont="1"/>
    <xf numFmtId="0" fontId="25" fillId="0" borderId="0" xfId="5" applyNumberFormat="1" applyFont="1" applyAlignment="1">
      <alignment horizontal="left" vertical="top" wrapText="1" indent="1"/>
    </xf>
    <xf numFmtId="0" fontId="20" fillId="0" borderId="0" xfId="5" applyNumberFormat="1" applyFont="1" applyAlignment="1">
      <alignment horizontal="left" vertical="top" wrapText="1" indent="1"/>
    </xf>
    <xf numFmtId="0" fontId="21" fillId="0" borderId="0" xfId="5" applyNumberFormat="1" applyFont="1" applyAlignment="1">
      <alignment horizontal="left" vertical="top" wrapText="1" indent="1"/>
    </xf>
    <xf numFmtId="0" fontId="65" fillId="0" borderId="0" xfId="5" applyNumberFormat="1" applyFont="1" applyAlignment="1">
      <alignment horizontal="left" vertical="top" wrapText="1" indent="1"/>
    </xf>
    <xf numFmtId="0" fontId="37" fillId="9" borderId="0" xfId="4" applyFont="1" applyFill="1" applyAlignment="1">
      <alignment horizontal="left"/>
    </xf>
    <xf numFmtId="0" fontId="43" fillId="0" borderId="0" xfId="5" applyNumberFormat="1" applyFont="1" applyAlignment="1">
      <alignment horizontal="left" vertical="top" wrapText="1" indent="1"/>
    </xf>
    <xf numFmtId="180" fontId="51" fillId="0" borderId="26" xfId="7" applyFont="1" applyAlignment="1">
      <alignment horizontal="left" vertical="center" wrapText="1" indent="1"/>
    </xf>
    <xf numFmtId="0" fontId="66" fillId="0" borderId="0" xfId="5" applyNumberFormat="1" applyFont="1" applyAlignment="1">
      <alignment horizontal="left" vertical="top" wrapText="1" indent="1"/>
    </xf>
    <xf numFmtId="0" fontId="52" fillId="0" borderId="39" xfId="0" applyFont="1" applyBorder="1" applyAlignment="1">
      <alignment horizontal="center" vertical="top" wrapText="1"/>
    </xf>
    <xf numFmtId="180" fontId="23" fillId="0" borderId="1" xfId="7" applyBorder="1" applyAlignment="1">
      <alignment horizontal="center" vertical="center" wrapText="1"/>
    </xf>
    <xf numFmtId="0" fontId="0" fillId="0" borderId="55" xfId="0" applyBorder="1"/>
    <xf numFmtId="0" fontId="0" fillId="0" borderId="56" xfId="0" applyBorder="1"/>
    <xf numFmtId="0" fontId="41" fillId="0" borderId="39" xfId="0" applyFont="1" applyBorder="1" applyAlignment="1">
      <alignment vertical="center" wrapText="1"/>
    </xf>
    <xf numFmtId="0" fontId="41" fillId="0" borderId="39" xfId="0" applyFont="1" applyBorder="1" applyAlignment="1">
      <alignment horizontal="center" vertical="center" wrapText="1"/>
    </xf>
    <xf numFmtId="0" fontId="48" fillId="0" borderId="57" xfId="0" applyFont="1" applyBorder="1" applyAlignment="1">
      <alignment horizontal="center" vertical="center"/>
    </xf>
    <xf numFmtId="0" fontId="0" fillId="0" borderId="31" xfId="0" applyBorder="1"/>
    <xf numFmtId="0" fontId="0" fillId="0" borderId="32" xfId="0" applyBorder="1"/>
    <xf numFmtId="0" fontId="0" fillId="0" borderId="3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7" xfId="0" applyBorder="1"/>
    <xf numFmtId="0" fontId="0" fillId="0" borderId="38" xfId="0" applyBorder="1"/>
    <xf numFmtId="0" fontId="59" fillId="0" borderId="1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0" fillId="0" borderId="58" xfId="0" applyBorder="1"/>
    <xf numFmtId="0" fontId="0" fillId="0" borderId="59" xfId="0" applyBorder="1"/>
  </cellXfs>
  <cellStyles count="14">
    <cellStyle name="Excel Built-in Normal 1" xfId="13"/>
    <cellStyle name="一般" xfId="0" builtinId="0"/>
    <cellStyle name="一般 2" xfId="2"/>
    <cellStyle name="一般 3" xfId="3"/>
    <cellStyle name="一般 4" xfId="4"/>
    <cellStyle name="日" xfId="8"/>
    <cellStyle name="附註" xfId="5"/>
    <cellStyle name="附註標題" xfId="7"/>
    <cellStyle name="超連結" xfId="1" builtinId="8"/>
    <cellStyle name="當日明細" xfId="6"/>
    <cellStyle name="標題 1 2" xfId="11"/>
    <cellStyle name="標題 2 2" xfId="9"/>
    <cellStyle name="標題 3 2" xfId="10"/>
    <cellStyle name="標題 5" xfId="12"/>
  </cellStyles>
  <dxfs count="12"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6</xdr:col>
      <xdr:colOff>66581</xdr:colOff>
      <xdr:row>4</xdr:row>
      <xdr:rowOff>95186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0" y="419100"/>
          <a:ext cx="752381" cy="51428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609524</xdr:colOff>
      <xdr:row>14</xdr:row>
      <xdr:rowOff>209471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00" y="2514600"/>
          <a:ext cx="609524" cy="6285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552381</xdr:colOff>
      <xdr:row>26</xdr:row>
      <xdr:rowOff>161852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00" y="5029200"/>
          <a:ext cx="552381" cy="58095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647619</xdr:colOff>
      <xdr:row>20</xdr:row>
      <xdr:rowOff>142805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00" y="3771900"/>
          <a:ext cx="647619" cy="56190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57057</xdr:colOff>
      <xdr:row>9</xdr:row>
      <xdr:rowOff>104710</xdr:rowOff>
    </xdr:to>
    <xdr:pic>
      <xdr:nvPicPr>
        <xdr:cNvPr id="6" name="圖片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000" y="1466850"/>
          <a:ext cx="742857" cy="52381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66581</xdr:colOff>
      <xdr:row>30</xdr:row>
      <xdr:rowOff>66614</xdr:rowOff>
    </xdr:to>
    <xdr:pic>
      <xdr:nvPicPr>
        <xdr:cNvPr id="7" name="圖片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10000" y="5867400"/>
          <a:ext cx="752381" cy="48571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580952</xdr:colOff>
      <xdr:row>35</xdr:row>
      <xdr:rowOff>18969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10000" y="6705600"/>
          <a:ext cx="580952" cy="6476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4</xdr:col>
      <xdr:colOff>85629</xdr:colOff>
      <xdr:row>17</xdr:row>
      <xdr:rowOff>76138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38400" y="3143250"/>
          <a:ext cx="771429" cy="49523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4</xdr:col>
      <xdr:colOff>28486</xdr:colOff>
      <xdr:row>24</xdr:row>
      <xdr:rowOff>104710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38400" y="4610100"/>
          <a:ext cx="714286" cy="52381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4</xdr:col>
      <xdr:colOff>180867</xdr:colOff>
      <xdr:row>28</xdr:row>
      <xdr:rowOff>114260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38400" y="5657850"/>
          <a:ext cx="866667" cy="32381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609524</xdr:colOff>
      <xdr:row>13</xdr:row>
      <xdr:rowOff>9445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38400" y="2095500"/>
          <a:ext cx="609524" cy="63809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685714</xdr:colOff>
      <xdr:row>33</xdr:row>
      <xdr:rowOff>190424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6496050"/>
          <a:ext cx="685714" cy="60952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571429</xdr:colOff>
      <xdr:row>5</xdr:row>
      <xdr:rowOff>28493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438400" y="419100"/>
          <a:ext cx="571429" cy="65714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542857</xdr:colOff>
      <xdr:row>5</xdr:row>
      <xdr:rowOff>171350</xdr:rowOff>
    </xdr:to>
    <xdr:pic>
      <xdr:nvPicPr>
        <xdr:cNvPr id="16" name="圖片 15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181600" y="419100"/>
          <a:ext cx="542857" cy="8000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314326</xdr:colOff>
      <xdr:row>34</xdr:row>
      <xdr:rowOff>180976</xdr:rowOff>
    </xdr:from>
    <xdr:ext cx="5562600" cy="2152650"/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6" y="7305676"/>
          <a:ext cx="5562600" cy="21526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utostar.com.tw/p1_buy_detail.php?detail_PKey=1524" TargetMode="External"/><Relationship Id="rId13" Type="http://schemas.openxmlformats.org/officeDocument/2006/relationships/hyperlink" Target="https://www.autostar.com.tw/p1_buy_detail.php?detail_PKey=2955" TargetMode="External"/><Relationship Id="rId18" Type="http://schemas.openxmlformats.org/officeDocument/2006/relationships/hyperlink" Target="https://www.autostar.com.tw/p1_buy_detail.php?detail_PKey=2957" TargetMode="External"/><Relationship Id="rId26" Type="http://schemas.openxmlformats.org/officeDocument/2006/relationships/hyperlink" Target="https://www.autostar.com.tw/p1_buy_detail.php?detail_PKey=1052" TargetMode="External"/><Relationship Id="rId3" Type="http://schemas.openxmlformats.org/officeDocument/2006/relationships/hyperlink" Target="https://www.autostar.com.tw/p1_buy_detail.php?detail_PKey=2958" TargetMode="External"/><Relationship Id="rId21" Type="http://schemas.openxmlformats.org/officeDocument/2006/relationships/hyperlink" Target="https://www.autostar.com.tw/p1_buy_detail.php?detail_PKey=1046" TargetMode="External"/><Relationship Id="rId7" Type="http://schemas.openxmlformats.org/officeDocument/2006/relationships/hyperlink" Target="https://www.autostar.com.tw/p1_buy_detail.php?detail_PKey=3002" TargetMode="External"/><Relationship Id="rId12" Type="http://schemas.openxmlformats.org/officeDocument/2006/relationships/hyperlink" Target="https://www.autostar.com.tw/p1_buy_detail.php?detail_PKey=2953" TargetMode="External"/><Relationship Id="rId17" Type="http://schemas.openxmlformats.org/officeDocument/2006/relationships/hyperlink" Target="https://www.autostar.com.tw/p1_buy_detail.php?detail_PKey=2955" TargetMode="External"/><Relationship Id="rId25" Type="http://schemas.openxmlformats.org/officeDocument/2006/relationships/hyperlink" Target="https://www.autostar.com.tw/p1_buy_detail.php?detail_PKey=1051" TargetMode="External"/><Relationship Id="rId2" Type="http://schemas.openxmlformats.org/officeDocument/2006/relationships/hyperlink" Target="https://www.autostar.com.tw/p1_buy_detail.php?detail_PKey=2956" TargetMode="External"/><Relationship Id="rId16" Type="http://schemas.openxmlformats.org/officeDocument/2006/relationships/hyperlink" Target="https://www.autostar.com.tw/p1_buy_detail.php?detail_PKey=2953" TargetMode="External"/><Relationship Id="rId20" Type="http://schemas.openxmlformats.org/officeDocument/2006/relationships/hyperlink" Target="https://www.autostar.com.tw/p1_buy_detail.php?detail_PKey=1043" TargetMode="External"/><Relationship Id="rId1" Type="http://schemas.openxmlformats.org/officeDocument/2006/relationships/hyperlink" Target="https://www.autostar.com.tw/p1_buy_detail.php?detail_PKey=2951" TargetMode="External"/><Relationship Id="rId6" Type="http://schemas.openxmlformats.org/officeDocument/2006/relationships/hyperlink" Target="https://www.autostar.com.tw/p1_buy_detail.php?detail_PKey=2980" TargetMode="External"/><Relationship Id="rId11" Type="http://schemas.openxmlformats.org/officeDocument/2006/relationships/hyperlink" Target="https://www.autostar.com.tw/p1_buy_detail.php?detail_PKey=3057" TargetMode="External"/><Relationship Id="rId24" Type="http://schemas.openxmlformats.org/officeDocument/2006/relationships/hyperlink" Target="https://www.autostar.com.tw/p1_buy_detail.php?detail_PKey=1050" TargetMode="External"/><Relationship Id="rId5" Type="http://schemas.openxmlformats.org/officeDocument/2006/relationships/hyperlink" Target="https://www.autostar.com.tw/p1_buy_detail.php?detail_PKey=2966" TargetMode="External"/><Relationship Id="rId15" Type="http://schemas.openxmlformats.org/officeDocument/2006/relationships/hyperlink" Target="https://www.autostar.com.tw/p1_buy_detail.php?detail_PKey=2961" TargetMode="External"/><Relationship Id="rId23" Type="http://schemas.openxmlformats.org/officeDocument/2006/relationships/hyperlink" Target="https://www.autostar.com.tw/p1_buy_detail.php?detail_PKey=1049" TargetMode="External"/><Relationship Id="rId10" Type="http://schemas.openxmlformats.org/officeDocument/2006/relationships/hyperlink" Target="https://www.autostar.com.tw/p1_buy_detail.php?detail_PKey=3056" TargetMode="External"/><Relationship Id="rId19" Type="http://schemas.openxmlformats.org/officeDocument/2006/relationships/hyperlink" Target="https://www.autostar.com.tw/p1_buy_detail.php?detail_PKey=2961" TargetMode="External"/><Relationship Id="rId4" Type="http://schemas.openxmlformats.org/officeDocument/2006/relationships/hyperlink" Target="https://www.autostar.com.tw/p1_buy_detail.php?detail_PKey=2960" TargetMode="External"/><Relationship Id="rId9" Type="http://schemas.openxmlformats.org/officeDocument/2006/relationships/hyperlink" Target="https://www.autostar.com.tw/p1_buy_detail.php?detail_PKey=1585" TargetMode="External"/><Relationship Id="rId14" Type="http://schemas.openxmlformats.org/officeDocument/2006/relationships/hyperlink" Target="https://www.autostar.com.tw/p1_buy_detail.php?detail_PKey=2957" TargetMode="External"/><Relationship Id="rId22" Type="http://schemas.openxmlformats.org/officeDocument/2006/relationships/hyperlink" Target="https://www.autostar.com.tw/p1_buy_detail.php?detail_PKey=1048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zoomScaleNormal="100" workbookViewId="0">
      <pane ySplit="2" topLeftCell="A3" activePane="bottomLeft" state="frozen"/>
      <selection pane="bottomLeft" activeCell="E20" sqref="E20"/>
    </sheetView>
  </sheetViews>
  <sheetFormatPr defaultRowHeight="16.5"/>
  <cols>
    <col min="1" max="3" width="8.75" style="149" bestFit="1" customWidth="1"/>
    <col min="4" max="4" width="26.75" style="149" bestFit="1" customWidth="1"/>
    <col min="5" max="5" width="20.625" style="149" customWidth="1"/>
    <col min="6" max="8" width="30.625" style="149" customWidth="1"/>
  </cols>
  <sheetData>
    <row r="1" spans="1:8" ht="32.25" customHeight="1">
      <c r="A1" s="173" t="s">
        <v>0</v>
      </c>
      <c r="B1" s="174"/>
      <c r="C1" s="174"/>
      <c r="D1" s="174"/>
      <c r="E1" s="174"/>
      <c r="F1" s="174"/>
      <c r="G1" s="174"/>
      <c r="H1" s="174"/>
    </row>
    <row r="2" spans="1:8" s="62" customFormat="1" ht="27.75" customHeight="1">
      <c r="A2" s="61" t="s">
        <v>1</v>
      </c>
      <c r="B2" s="61" t="s">
        <v>2</v>
      </c>
      <c r="C2" s="61" t="s">
        <v>3</v>
      </c>
      <c r="D2" s="61" t="s">
        <v>4</v>
      </c>
      <c r="E2" s="61" t="s">
        <v>5</v>
      </c>
      <c r="F2" s="61" t="s">
        <v>6</v>
      </c>
      <c r="G2" s="61" t="s">
        <v>7</v>
      </c>
      <c r="H2" s="61" t="s">
        <v>8</v>
      </c>
    </row>
    <row r="3" spans="1:8" ht="27.75" customHeight="1">
      <c r="A3" s="10"/>
      <c r="B3" s="10"/>
      <c r="C3" s="10"/>
      <c r="D3" s="10"/>
      <c r="E3" s="10"/>
      <c r="F3" s="10"/>
      <c r="G3" s="10"/>
      <c r="H3" s="10"/>
    </row>
    <row r="4" spans="1:8" ht="27.75" customHeight="1">
      <c r="A4" s="10"/>
      <c r="B4" s="10"/>
      <c r="C4" s="10"/>
      <c r="D4" s="10"/>
      <c r="E4" s="10"/>
      <c r="F4" s="10"/>
      <c r="G4" s="10"/>
      <c r="H4" s="10"/>
    </row>
    <row r="5" spans="1:8" ht="27.75" customHeight="1">
      <c r="A5" s="10"/>
      <c r="B5" s="10"/>
      <c r="C5" s="10"/>
      <c r="D5" s="10"/>
      <c r="E5" s="10"/>
      <c r="F5" s="10"/>
      <c r="G5" s="10"/>
      <c r="H5" s="10"/>
    </row>
    <row r="6" spans="1:8" ht="27.75" customHeight="1">
      <c r="A6" s="10"/>
      <c r="B6" s="10"/>
      <c r="C6" s="10"/>
      <c r="D6" s="10"/>
      <c r="E6" s="10"/>
      <c r="F6" s="10"/>
      <c r="G6" s="10"/>
      <c r="H6" s="10"/>
    </row>
    <row r="7" spans="1:8" ht="27.75" customHeight="1">
      <c r="A7" s="10"/>
      <c r="B7" s="10"/>
      <c r="C7" s="10"/>
      <c r="D7" s="10"/>
      <c r="E7" s="10"/>
      <c r="F7" s="10"/>
      <c r="G7" s="10"/>
      <c r="H7" s="10"/>
    </row>
    <row r="8" spans="1:8" ht="27.75" customHeight="1">
      <c r="A8" s="10"/>
      <c r="B8" s="10"/>
      <c r="C8" s="10"/>
      <c r="D8" s="10"/>
      <c r="E8" s="10"/>
      <c r="F8" s="10"/>
      <c r="G8" s="10"/>
      <c r="H8" s="10"/>
    </row>
    <row r="9" spans="1:8" ht="27.75" customHeight="1">
      <c r="A9" s="10"/>
      <c r="B9" s="10"/>
      <c r="C9" s="10"/>
      <c r="D9" s="10"/>
      <c r="E9" s="10"/>
      <c r="F9" s="10"/>
      <c r="G9" s="10"/>
      <c r="H9" s="10"/>
    </row>
    <row r="10" spans="1:8" ht="27.75" customHeight="1">
      <c r="A10" s="10"/>
      <c r="B10" s="10"/>
      <c r="C10" s="10"/>
      <c r="D10" s="10"/>
      <c r="E10" s="10"/>
      <c r="F10" s="10"/>
      <c r="G10" s="10"/>
      <c r="H10" s="10"/>
    </row>
    <row r="11" spans="1:8" ht="27.75" customHeight="1">
      <c r="A11" s="10"/>
      <c r="B11" s="10"/>
      <c r="C11" s="10"/>
      <c r="D11" s="10"/>
      <c r="E11" s="10"/>
      <c r="F11" s="10"/>
      <c r="G11" s="10"/>
      <c r="H11" s="10"/>
    </row>
    <row r="12" spans="1:8" ht="27.75" customHeight="1">
      <c r="A12" s="10"/>
      <c r="B12" s="10"/>
      <c r="C12" s="10"/>
      <c r="D12" s="10"/>
      <c r="E12" s="10"/>
      <c r="F12" s="10"/>
      <c r="G12" s="10"/>
      <c r="H12" s="10"/>
    </row>
    <row r="13" spans="1:8" ht="27.75" customHeight="1">
      <c r="A13" s="10"/>
      <c r="B13" s="10"/>
      <c r="C13" s="10"/>
      <c r="D13" s="10"/>
      <c r="E13" s="10"/>
      <c r="F13" s="10"/>
      <c r="G13" s="10"/>
      <c r="H13" s="10"/>
    </row>
    <row r="14" spans="1:8" ht="27.75" customHeight="1">
      <c r="A14" s="10"/>
      <c r="B14" s="10"/>
      <c r="C14" s="10"/>
      <c r="D14" s="10"/>
      <c r="E14" s="10"/>
      <c r="F14" s="10"/>
      <c r="G14" s="10"/>
      <c r="H14" s="10"/>
    </row>
    <row r="15" spans="1:8" ht="27.75" customHeight="1">
      <c r="A15" s="10"/>
      <c r="B15" s="10"/>
      <c r="C15" s="10"/>
      <c r="D15" s="10"/>
      <c r="E15" s="10"/>
      <c r="F15" s="10"/>
      <c r="G15" s="10"/>
      <c r="H15" s="10"/>
    </row>
    <row r="16" spans="1:8" ht="27.75" customHeight="1">
      <c r="A16" s="10"/>
      <c r="B16" s="10"/>
      <c r="C16" s="10"/>
      <c r="D16" s="10"/>
      <c r="E16" s="10"/>
      <c r="F16" s="10"/>
      <c r="G16" s="10"/>
      <c r="H16" s="10"/>
    </row>
    <row r="17" spans="1:8" ht="27.75" customHeight="1">
      <c r="A17" s="10"/>
      <c r="B17" s="10"/>
      <c r="C17" s="10"/>
      <c r="D17" s="10"/>
      <c r="E17" s="10"/>
      <c r="F17" s="10"/>
      <c r="G17" s="10"/>
      <c r="H17" s="10"/>
    </row>
    <row r="18" spans="1:8" ht="27.75" customHeight="1">
      <c r="A18" s="10"/>
      <c r="B18" s="10"/>
      <c r="C18" s="10"/>
      <c r="D18" s="10"/>
      <c r="E18" s="10"/>
      <c r="F18" s="10"/>
      <c r="G18" s="10"/>
      <c r="H18" s="10"/>
    </row>
    <row r="19" spans="1:8" ht="27.75" customHeight="1">
      <c r="A19" s="10"/>
      <c r="B19" s="10"/>
      <c r="C19" s="10"/>
      <c r="D19" s="10"/>
      <c r="E19" s="10"/>
      <c r="F19" s="10"/>
      <c r="G19" s="10"/>
      <c r="H19" s="10"/>
    </row>
    <row r="20" spans="1:8" ht="27.75" customHeight="1">
      <c r="A20" s="10"/>
      <c r="B20" s="10"/>
      <c r="C20" s="10"/>
      <c r="D20" s="10"/>
      <c r="E20" s="10"/>
      <c r="F20" s="10"/>
      <c r="G20" s="10"/>
      <c r="H20" s="10"/>
    </row>
    <row r="21" spans="1:8" ht="27.75" customHeight="1">
      <c r="A21" s="10"/>
      <c r="B21" s="10"/>
      <c r="C21" s="10"/>
      <c r="D21" s="10"/>
      <c r="E21" s="10"/>
      <c r="F21" s="10"/>
      <c r="G21" s="10"/>
      <c r="H21" s="10"/>
    </row>
    <row r="22" spans="1:8" ht="27.75" customHeight="1">
      <c r="A22" s="10"/>
      <c r="B22" s="10"/>
      <c r="C22" s="10"/>
      <c r="D22" s="10"/>
      <c r="E22" s="10"/>
      <c r="F22" s="10"/>
      <c r="G22" s="10"/>
      <c r="H22" s="10"/>
    </row>
    <row r="23" spans="1:8" ht="27.75" customHeight="1">
      <c r="A23" s="10"/>
      <c r="B23" s="10"/>
      <c r="C23" s="10"/>
      <c r="D23" s="10"/>
      <c r="E23" s="10"/>
      <c r="F23" s="10"/>
      <c r="G23" s="10"/>
      <c r="H23" s="10"/>
    </row>
    <row r="24" spans="1:8" ht="27.75" customHeight="1">
      <c r="A24" s="10"/>
      <c r="B24" s="10"/>
      <c r="C24" s="10"/>
      <c r="D24" s="10"/>
      <c r="E24" s="10"/>
      <c r="F24" s="10"/>
      <c r="G24" s="10"/>
      <c r="H24" s="10"/>
    </row>
    <row r="25" spans="1:8" ht="27.75" customHeight="1">
      <c r="A25" s="10"/>
      <c r="B25" s="10"/>
      <c r="C25" s="10"/>
      <c r="D25" s="10"/>
      <c r="E25" s="10"/>
      <c r="F25" s="10"/>
      <c r="G25" s="10"/>
      <c r="H25" s="10"/>
    </row>
  </sheetData>
  <mergeCells count="1">
    <mergeCell ref="A1:H1"/>
  </mergeCells>
  <phoneticPr fontId="3" type="noConversion"/>
  <pageMargins left="0" right="0" top="0" bottom="0" header="0" footer="0"/>
  <pageSetup paperSize="9" scale="87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H20"/>
  <sheetViews>
    <sheetView view="pageBreakPreview" zoomScale="60" zoomScaleNormal="100" workbookViewId="0">
      <pane ySplit="2" topLeftCell="A3" activePane="bottomLeft" state="frozen"/>
      <selection pane="bottomLeft" activeCell="B15" sqref="B15"/>
    </sheetView>
  </sheetViews>
  <sheetFormatPr defaultRowHeight="27.75"/>
  <cols>
    <col min="1" max="1" width="8.75" style="12" bestFit="1" customWidth="1"/>
    <col min="2" max="3" width="25.625" style="3" customWidth="1"/>
    <col min="4" max="7" width="16" style="3" bestFit="1" customWidth="1"/>
    <col min="8" max="8" width="8.75" style="3" bestFit="1" customWidth="1"/>
    <col min="9" max="12" width="9" style="3" customWidth="1"/>
    <col min="13" max="16384" width="9" style="3"/>
  </cols>
  <sheetData>
    <row r="1" spans="1:8" ht="32.25" customHeight="1">
      <c r="A1" s="173" t="s">
        <v>9</v>
      </c>
      <c r="B1" s="174"/>
      <c r="C1" s="174"/>
      <c r="D1" s="174"/>
      <c r="E1" s="174"/>
      <c r="F1" s="174"/>
      <c r="G1" s="174"/>
      <c r="H1" s="174"/>
    </row>
    <row r="2" spans="1:8" s="12" customFormat="1">
      <c r="A2" s="11" t="s">
        <v>10</v>
      </c>
      <c r="B2" s="11" t="s">
        <v>11</v>
      </c>
      <c r="C2" s="11" t="s">
        <v>12</v>
      </c>
      <c r="D2" s="11" t="s">
        <v>13</v>
      </c>
      <c r="E2" s="11" t="s">
        <v>14</v>
      </c>
      <c r="F2" s="11" t="s">
        <v>15</v>
      </c>
      <c r="G2" s="11" t="s">
        <v>16</v>
      </c>
      <c r="H2" s="11" t="s">
        <v>8</v>
      </c>
    </row>
    <row r="3" spans="1:8">
      <c r="A3" s="11">
        <v>1</v>
      </c>
      <c r="B3" s="2"/>
      <c r="C3" s="2"/>
      <c r="D3" s="2"/>
      <c r="E3" s="2"/>
      <c r="F3" s="2"/>
      <c r="G3" s="2"/>
      <c r="H3" s="2"/>
    </row>
    <row r="4" spans="1:8">
      <c r="A4" s="11">
        <v>2</v>
      </c>
      <c r="B4" s="2"/>
      <c r="C4" s="2"/>
      <c r="D4" s="2"/>
      <c r="E4" s="2"/>
      <c r="F4" s="2"/>
      <c r="G4" s="2"/>
      <c r="H4" s="2"/>
    </row>
    <row r="5" spans="1:8">
      <c r="A5" s="11">
        <v>3</v>
      </c>
      <c r="B5" s="2"/>
      <c r="C5" s="2"/>
      <c r="D5" s="2"/>
      <c r="E5" s="2"/>
      <c r="F5" s="2"/>
      <c r="G5" s="2"/>
      <c r="H5" s="2"/>
    </row>
    <row r="6" spans="1:8">
      <c r="A6" s="11">
        <v>4</v>
      </c>
      <c r="B6" s="2"/>
      <c r="C6" s="2"/>
      <c r="D6" s="2"/>
      <c r="E6" s="2"/>
      <c r="F6" s="2"/>
      <c r="G6" s="2"/>
      <c r="H6" s="2"/>
    </row>
    <row r="7" spans="1:8">
      <c r="A7" s="11">
        <v>5</v>
      </c>
      <c r="B7" s="2"/>
      <c r="C7" s="2"/>
      <c r="D7" s="2"/>
      <c r="E7" s="2"/>
      <c r="F7" s="2"/>
      <c r="G7" s="2"/>
      <c r="H7" s="2"/>
    </row>
    <row r="8" spans="1:8">
      <c r="A8" s="11">
        <v>6</v>
      </c>
      <c r="B8" s="2"/>
      <c r="C8" s="2"/>
      <c r="D8" s="2"/>
      <c r="E8" s="2"/>
      <c r="F8" s="2"/>
      <c r="G8" s="2"/>
      <c r="H8" s="2"/>
    </row>
    <row r="9" spans="1:8">
      <c r="A9" s="11">
        <v>7</v>
      </c>
      <c r="B9" s="2"/>
      <c r="C9" s="2"/>
      <c r="D9" s="2"/>
      <c r="E9" s="2"/>
      <c r="F9" s="2"/>
      <c r="G9" s="2"/>
      <c r="H9" s="2"/>
    </row>
    <row r="10" spans="1:8">
      <c r="A10" s="11">
        <v>8</v>
      </c>
      <c r="B10" s="2"/>
      <c r="C10" s="2"/>
      <c r="D10" s="2"/>
      <c r="E10" s="2"/>
      <c r="F10" s="2"/>
      <c r="G10" s="2"/>
      <c r="H10" s="2"/>
    </row>
    <row r="11" spans="1:8">
      <c r="A11" s="11">
        <v>9</v>
      </c>
      <c r="B11" s="2"/>
      <c r="C11" s="2"/>
      <c r="D11" s="2"/>
      <c r="E11" s="2"/>
      <c r="F11" s="2"/>
      <c r="G11" s="2"/>
      <c r="H11" s="2"/>
    </row>
    <row r="12" spans="1:8">
      <c r="A12" s="11">
        <v>10</v>
      </c>
      <c r="B12" s="2"/>
      <c r="C12" s="2"/>
      <c r="D12" s="2"/>
      <c r="E12" s="2"/>
      <c r="F12" s="2"/>
      <c r="G12" s="2"/>
      <c r="H12" s="2"/>
    </row>
    <row r="13" spans="1:8">
      <c r="A13" s="11">
        <v>11</v>
      </c>
      <c r="B13" s="2"/>
      <c r="C13" s="2"/>
      <c r="D13" s="2"/>
      <c r="E13" s="2"/>
      <c r="F13" s="2"/>
      <c r="G13" s="2"/>
      <c r="H13" s="2"/>
    </row>
    <row r="14" spans="1:8">
      <c r="A14" s="11">
        <v>12</v>
      </c>
      <c r="B14" s="2"/>
      <c r="C14" s="2"/>
      <c r="D14" s="2"/>
      <c r="E14" s="2"/>
      <c r="F14" s="2"/>
      <c r="G14" s="2"/>
      <c r="H14" s="2"/>
    </row>
    <row r="15" spans="1:8">
      <c r="A15" s="11">
        <v>13</v>
      </c>
      <c r="B15" s="2"/>
      <c r="C15" s="2"/>
      <c r="D15" s="2"/>
      <c r="E15" s="2"/>
      <c r="F15" s="2"/>
      <c r="G15" s="2"/>
      <c r="H15" s="2"/>
    </row>
    <row r="16" spans="1:8">
      <c r="A16" s="11">
        <v>14</v>
      </c>
      <c r="B16" s="2"/>
      <c r="C16" s="2"/>
      <c r="D16" s="2"/>
      <c r="E16" s="2"/>
      <c r="F16" s="2"/>
      <c r="G16" s="2"/>
      <c r="H16" s="2"/>
    </row>
    <row r="17" spans="1:8">
      <c r="A17" s="11">
        <v>15</v>
      </c>
      <c r="B17" s="2"/>
      <c r="C17" s="2"/>
      <c r="D17" s="2"/>
      <c r="E17" s="2"/>
      <c r="F17" s="2"/>
      <c r="G17" s="2"/>
      <c r="H17" s="2"/>
    </row>
    <row r="18" spans="1:8">
      <c r="A18" s="11">
        <v>16</v>
      </c>
      <c r="B18" s="2"/>
      <c r="C18" s="2"/>
      <c r="D18" s="2"/>
      <c r="E18" s="2"/>
      <c r="F18" s="2"/>
      <c r="G18" s="2"/>
      <c r="H18" s="2"/>
    </row>
    <row r="19" spans="1:8">
      <c r="A19" s="11">
        <v>17</v>
      </c>
      <c r="B19" s="2"/>
      <c r="C19" s="2"/>
      <c r="D19" s="2"/>
      <c r="E19" s="2"/>
      <c r="F19" s="2"/>
      <c r="G19" s="2"/>
      <c r="H19" s="2"/>
    </row>
    <row r="20" spans="1:8">
      <c r="A20" s="11">
        <v>18</v>
      </c>
      <c r="B20" s="2"/>
      <c r="C20" s="2"/>
      <c r="D20" s="2"/>
      <c r="E20" s="2"/>
      <c r="F20" s="2"/>
      <c r="G20" s="2"/>
      <c r="H20" s="2"/>
    </row>
  </sheetData>
  <mergeCells count="1">
    <mergeCell ref="A1:H1"/>
  </mergeCells>
  <phoneticPr fontId="3" type="noConversion"/>
  <printOptions horizontalCentered="1"/>
  <pageMargins left="0" right="0" top="0" bottom="0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2" topLeftCell="A3" activePane="bottomLeft" state="frozen"/>
      <selection pane="bottomLeft" activeCell="D20" sqref="D20"/>
    </sheetView>
  </sheetViews>
  <sheetFormatPr defaultColWidth="10.25" defaultRowHeight="16.5"/>
  <cols>
    <col min="1" max="3" width="8.75" style="3" bestFit="1" customWidth="1"/>
    <col min="4" max="4" width="16" style="3" bestFit="1" customWidth="1"/>
    <col min="5" max="5" width="8.75" style="3" bestFit="1" customWidth="1"/>
    <col min="6" max="6" width="16" style="3" bestFit="1" customWidth="1"/>
    <col min="7" max="7" width="8.75" style="3" bestFit="1" customWidth="1"/>
    <col min="8" max="11" width="10.25" style="3" customWidth="1"/>
    <col min="12" max="16384" width="10.25" style="3"/>
  </cols>
  <sheetData>
    <row r="1" spans="1:7" ht="32.25" customHeight="1">
      <c r="A1" s="175" t="s">
        <v>17</v>
      </c>
      <c r="B1" s="174"/>
      <c r="C1" s="174"/>
      <c r="D1" s="174"/>
      <c r="E1" s="174"/>
      <c r="F1" s="174"/>
      <c r="G1" s="176"/>
    </row>
    <row r="2" spans="1:7" s="1" customFormat="1" ht="27.75" customHeight="1">
      <c r="A2" s="8" t="s">
        <v>1</v>
      </c>
      <c r="B2" s="9" t="s">
        <v>2</v>
      </c>
      <c r="C2" s="9" t="s">
        <v>18</v>
      </c>
      <c r="D2" s="9" t="s">
        <v>19</v>
      </c>
      <c r="E2" s="9" t="s">
        <v>20</v>
      </c>
      <c r="F2" s="9" t="s">
        <v>5</v>
      </c>
      <c r="G2" s="9" t="s">
        <v>8</v>
      </c>
    </row>
    <row r="3" spans="1:7">
      <c r="A3" s="2"/>
      <c r="B3" s="2"/>
      <c r="C3" s="2"/>
      <c r="D3" s="2"/>
      <c r="E3" s="2"/>
      <c r="F3" s="2"/>
      <c r="G3" s="2"/>
    </row>
    <row r="4" spans="1:7">
      <c r="A4" s="2"/>
      <c r="B4" s="2"/>
      <c r="C4" s="2"/>
      <c r="D4" s="2"/>
      <c r="E4" s="2"/>
      <c r="F4" s="2"/>
      <c r="G4" s="2"/>
    </row>
    <row r="5" spans="1:7">
      <c r="A5" s="2"/>
      <c r="B5" s="2"/>
      <c r="C5" s="2"/>
      <c r="D5" s="2"/>
      <c r="E5" s="2"/>
      <c r="F5" s="2"/>
      <c r="G5" s="2"/>
    </row>
    <row r="6" spans="1:7">
      <c r="A6" s="2"/>
      <c r="B6" s="2"/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  <row r="8" spans="1:7">
      <c r="A8" s="2"/>
      <c r="B8" s="2"/>
      <c r="C8" s="2"/>
      <c r="D8" s="2"/>
      <c r="E8" s="2"/>
      <c r="F8" s="2"/>
      <c r="G8" s="2"/>
    </row>
    <row r="9" spans="1:7">
      <c r="A9" s="2"/>
      <c r="B9" s="2"/>
      <c r="C9" s="2"/>
      <c r="D9" s="2"/>
      <c r="E9" s="2"/>
      <c r="F9" s="2"/>
      <c r="G9" s="2"/>
    </row>
    <row r="10" spans="1:7">
      <c r="A10" s="2"/>
      <c r="B10" s="2"/>
      <c r="C10" s="2"/>
      <c r="D10" s="2"/>
      <c r="E10" s="2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2"/>
      <c r="B12" s="2"/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>
      <c r="A14" s="2"/>
      <c r="B14" s="2"/>
      <c r="C14" s="2"/>
      <c r="D14" s="2"/>
      <c r="E14" s="2"/>
      <c r="F14" s="2"/>
      <c r="G14" s="2"/>
    </row>
    <row r="15" spans="1:7">
      <c r="A15" s="2"/>
      <c r="B15" s="2"/>
      <c r="C15" s="2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</sheetData>
  <mergeCells count="1">
    <mergeCell ref="A1:G1"/>
  </mergeCells>
  <phoneticPr fontId="3" type="noConversion"/>
  <pageMargins left="0.70866141732283472" right="0.70866141732283472" top="0.74803149606299213" bottom="0.74803149606299213" header="0.31496062992125978" footer="0.31496062992125978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4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"/>
    </sheetView>
  </sheetViews>
  <sheetFormatPr defaultRowHeight="27.75" outlineLevelCol="1"/>
  <cols>
    <col min="1" max="1" width="8.75" style="16" customWidth="1"/>
    <col min="2" max="2" width="8.75" style="6" bestFit="1" customWidth="1"/>
    <col min="3" max="3" width="14.625" style="21" customWidth="1"/>
    <col min="4" max="4" width="13" style="6" bestFit="1" customWidth="1"/>
    <col min="5" max="5" width="12.25" style="6" hidden="1" customWidth="1" outlineLevel="1"/>
    <col min="6" max="6" width="8.75" style="6" hidden="1" customWidth="1" outlineLevel="1"/>
    <col min="7" max="7" width="16" style="6" hidden="1" customWidth="1" outlineLevel="1"/>
    <col min="8" max="8" width="12.25" style="6" hidden="1" customWidth="1" outlineLevel="1"/>
    <col min="9" max="9" width="19.75" style="6" bestFit="1" customWidth="1" collapsed="1"/>
    <col min="10" max="12" width="12.25" style="6" customWidth="1"/>
    <col min="13" max="13" width="10" style="6" bestFit="1" customWidth="1"/>
    <col min="14" max="14" width="9" style="23" customWidth="1"/>
    <col min="15" max="16" width="9" style="6" customWidth="1"/>
    <col min="17" max="17" width="2.5" style="6" bestFit="1" customWidth="1"/>
    <col min="18" max="21" width="9" style="6" customWidth="1"/>
    <col min="22" max="16384" width="9" style="6"/>
  </cols>
  <sheetData>
    <row r="1" spans="1:14" ht="32.25" customHeight="1">
      <c r="A1" s="177"/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4" s="16" customFormat="1">
      <c r="A2" s="14" t="s">
        <v>21</v>
      </c>
      <c r="B2" s="17" t="s">
        <v>12</v>
      </c>
      <c r="C2" s="15" t="s">
        <v>22</v>
      </c>
      <c r="D2" s="17" t="s">
        <v>11</v>
      </c>
      <c r="E2" s="17" t="s">
        <v>23</v>
      </c>
      <c r="F2" s="17" t="s">
        <v>24</v>
      </c>
      <c r="G2" s="14" t="s">
        <v>25</v>
      </c>
      <c r="H2" s="14" t="s">
        <v>26</v>
      </c>
      <c r="I2" s="14" t="s">
        <v>27</v>
      </c>
      <c r="J2" s="20" t="s">
        <v>28</v>
      </c>
      <c r="K2" s="25" t="s">
        <v>29</v>
      </c>
      <c r="L2" s="19" t="s">
        <v>30</v>
      </c>
      <c r="M2" s="14" t="s">
        <v>8</v>
      </c>
      <c r="N2" s="17" t="s">
        <v>31</v>
      </c>
    </row>
    <row r="3" spans="1:14" ht="35.25" customHeight="1">
      <c r="A3" s="17"/>
      <c r="B3" s="4"/>
      <c r="C3" s="18" t="s">
        <v>32</v>
      </c>
      <c r="D3" s="5" t="s">
        <v>33</v>
      </c>
      <c r="E3" s="4"/>
      <c r="F3" s="4"/>
      <c r="G3" s="4"/>
      <c r="H3" s="4"/>
      <c r="I3" s="4" t="s">
        <v>34</v>
      </c>
      <c r="J3" s="154">
        <v>3000</v>
      </c>
      <c r="K3" s="155">
        <v>129264</v>
      </c>
      <c r="L3" s="156">
        <v>78</v>
      </c>
      <c r="M3" s="28" t="s">
        <v>35</v>
      </c>
      <c r="N3" s="22" t="s">
        <v>36</v>
      </c>
    </row>
    <row r="4" spans="1:14" ht="35.25" customHeight="1">
      <c r="A4" s="17"/>
      <c r="B4" s="4"/>
      <c r="C4" s="18" t="s">
        <v>37</v>
      </c>
      <c r="D4" s="5" t="s">
        <v>38</v>
      </c>
      <c r="E4" s="4"/>
      <c r="F4" s="4"/>
      <c r="G4" s="4"/>
      <c r="H4" s="4"/>
      <c r="I4" s="4" t="s">
        <v>39</v>
      </c>
      <c r="J4" s="154">
        <v>3700</v>
      </c>
      <c r="K4" s="155">
        <v>50089</v>
      </c>
      <c r="L4" s="156">
        <v>109.8</v>
      </c>
      <c r="M4" s="29" t="s">
        <v>40</v>
      </c>
      <c r="N4" s="22" t="s">
        <v>41</v>
      </c>
    </row>
    <row r="5" spans="1:14" ht="35.25" customHeight="1">
      <c r="A5" s="17"/>
      <c r="B5" s="4"/>
      <c r="C5" s="18" t="s">
        <v>42</v>
      </c>
      <c r="D5" s="5" t="s">
        <v>43</v>
      </c>
      <c r="E5" s="4"/>
      <c r="F5" s="4"/>
      <c r="G5" s="4"/>
      <c r="H5" s="4"/>
      <c r="I5" s="4" t="s">
        <v>44</v>
      </c>
      <c r="J5" s="157">
        <v>1800</v>
      </c>
      <c r="K5" s="155">
        <v>64360</v>
      </c>
      <c r="L5" s="156">
        <v>111</v>
      </c>
      <c r="M5" s="4" t="s">
        <v>45</v>
      </c>
      <c r="N5" s="22" t="s">
        <v>46</v>
      </c>
    </row>
    <row r="6" spans="1:14" ht="35.25" customHeight="1">
      <c r="A6" s="17"/>
      <c r="B6" s="4"/>
      <c r="C6" s="18" t="s">
        <v>42</v>
      </c>
      <c r="D6" s="5" t="s">
        <v>47</v>
      </c>
      <c r="E6" s="4"/>
      <c r="F6" s="4"/>
      <c r="G6" s="4"/>
      <c r="H6" s="4"/>
      <c r="I6" s="4" t="s">
        <v>48</v>
      </c>
      <c r="J6" s="157">
        <v>2200</v>
      </c>
      <c r="K6" s="155">
        <v>41236</v>
      </c>
      <c r="L6" s="156">
        <v>109.8</v>
      </c>
      <c r="M6" s="28" t="s">
        <v>35</v>
      </c>
      <c r="N6" s="22" t="s">
        <v>49</v>
      </c>
    </row>
    <row r="7" spans="1:14" ht="35.25" customHeight="1">
      <c r="A7" s="17"/>
      <c r="B7" s="4"/>
      <c r="C7" s="18" t="s">
        <v>50</v>
      </c>
      <c r="D7" s="5" t="s">
        <v>51</v>
      </c>
      <c r="E7" s="4"/>
      <c r="F7" s="4"/>
      <c r="G7" s="4"/>
      <c r="H7" s="4"/>
      <c r="I7" s="4" t="s">
        <v>52</v>
      </c>
      <c r="J7" s="157">
        <v>1600</v>
      </c>
      <c r="K7" s="155">
        <v>222184</v>
      </c>
      <c r="L7" s="156">
        <v>39.799999999999997</v>
      </c>
      <c r="M7" s="28" t="s">
        <v>35</v>
      </c>
      <c r="N7" s="22" t="s">
        <v>53</v>
      </c>
    </row>
    <row r="8" spans="1:14" ht="35.25" customHeight="1">
      <c r="A8" s="17"/>
      <c r="B8" s="4"/>
      <c r="C8" s="18" t="s">
        <v>32</v>
      </c>
      <c r="D8" s="5" t="s">
        <v>54</v>
      </c>
      <c r="E8" s="4"/>
      <c r="F8" s="4"/>
      <c r="G8" s="4"/>
      <c r="H8" s="4"/>
      <c r="I8" s="4" t="s">
        <v>55</v>
      </c>
      <c r="J8" s="157">
        <v>2000</v>
      </c>
      <c r="K8" s="155">
        <v>2000</v>
      </c>
      <c r="L8" s="156">
        <v>189.8</v>
      </c>
      <c r="M8" s="4" t="s">
        <v>45</v>
      </c>
      <c r="N8" s="22" t="s">
        <v>56</v>
      </c>
    </row>
    <row r="9" spans="1:14" ht="35.25" customHeight="1">
      <c r="A9" s="17"/>
      <c r="B9" s="4"/>
      <c r="C9" s="18" t="s">
        <v>57</v>
      </c>
      <c r="D9" s="5"/>
      <c r="E9" s="4"/>
      <c r="F9" s="4"/>
      <c r="G9" s="4"/>
      <c r="H9" s="4"/>
      <c r="I9" s="4" t="s">
        <v>58</v>
      </c>
      <c r="J9" s="157">
        <v>3600</v>
      </c>
      <c r="K9" s="155">
        <v>40333</v>
      </c>
      <c r="L9" s="156">
        <v>219</v>
      </c>
      <c r="M9" s="4" t="s">
        <v>45</v>
      </c>
      <c r="N9" s="22" t="s">
        <v>59</v>
      </c>
    </row>
    <row r="10" spans="1:14" ht="35.25" customHeight="1">
      <c r="A10" s="17"/>
      <c r="B10" s="4"/>
      <c r="C10" s="18" t="s">
        <v>50</v>
      </c>
      <c r="D10" s="5" t="s">
        <v>60</v>
      </c>
      <c r="E10" s="4"/>
      <c r="F10" s="4"/>
      <c r="G10" s="4"/>
      <c r="H10" s="4"/>
      <c r="I10" s="4" t="s">
        <v>61</v>
      </c>
      <c r="J10" s="157">
        <v>3200</v>
      </c>
      <c r="K10" s="155">
        <v>132798</v>
      </c>
      <c r="L10" s="156">
        <v>19.8</v>
      </c>
      <c r="M10" s="4" t="s">
        <v>62</v>
      </c>
      <c r="N10" s="22" t="s">
        <v>63</v>
      </c>
    </row>
    <row r="11" spans="1:14" ht="35.25" customHeight="1">
      <c r="A11" s="17"/>
      <c r="B11" s="4"/>
      <c r="C11" s="18" t="s">
        <v>64</v>
      </c>
      <c r="D11" s="5" t="s">
        <v>65</v>
      </c>
      <c r="E11" s="4"/>
      <c r="F11" s="4"/>
      <c r="G11" s="4"/>
      <c r="H11" s="4"/>
      <c r="I11" s="4" t="s">
        <v>66</v>
      </c>
      <c r="J11" s="157">
        <v>2996</v>
      </c>
      <c r="K11" s="155">
        <v>110831</v>
      </c>
      <c r="L11" s="156">
        <v>62.8</v>
      </c>
      <c r="M11" s="4" t="s">
        <v>62</v>
      </c>
      <c r="N11" s="22" t="s">
        <v>67</v>
      </c>
    </row>
    <row r="12" spans="1:14" ht="35.25" customHeight="1">
      <c r="A12" s="17"/>
      <c r="B12" s="4"/>
      <c r="C12" s="18" t="s">
        <v>68</v>
      </c>
      <c r="D12" s="5" t="s">
        <v>69</v>
      </c>
      <c r="E12" s="4"/>
      <c r="F12" s="4"/>
      <c r="G12" s="4"/>
      <c r="H12" s="4"/>
      <c r="I12" s="4" t="s">
        <v>70</v>
      </c>
      <c r="J12" s="157">
        <v>1800</v>
      </c>
      <c r="K12" s="155">
        <v>33799</v>
      </c>
      <c r="L12" s="156">
        <v>52.8</v>
      </c>
      <c r="M12" s="4" t="s">
        <v>62</v>
      </c>
      <c r="N12" s="22" t="s">
        <v>71</v>
      </c>
    </row>
    <row r="13" spans="1:14" ht="35.25" customHeight="1">
      <c r="A13" s="17"/>
      <c r="B13" s="4"/>
      <c r="C13" s="18" t="s">
        <v>50</v>
      </c>
      <c r="D13" s="5" t="s">
        <v>72</v>
      </c>
      <c r="E13" s="4"/>
      <c r="F13" s="4"/>
      <c r="G13" s="4"/>
      <c r="H13" s="4"/>
      <c r="I13" s="4" t="s">
        <v>73</v>
      </c>
      <c r="J13" s="157">
        <v>1800</v>
      </c>
      <c r="K13" s="155">
        <v>30030</v>
      </c>
      <c r="L13" s="156">
        <v>36.799999999999997</v>
      </c>
      <c r="M13" s="28" t="s">
        <v>74</v>
      </c>
      <c r="N13" s="22" t="s">
        <v>75</v>
      </c>
    </row>
    <row r="14" spans="1:14" ht="35.25" customHeight="1">
      <c r="A14" s="17"/>
      <c r="B14" s="4"/>
      <c r="C14" s="18" t="s">
        <v>50</v>
      </c>
      <c r="D14" s="5" t="s">
        <v>76</v>
      </c>
      <c r="E14" s="4"/>
      <c r="F14" s="4"/>
      <c r="G14" s="4"/>
      <c r="H14" s="4"/>
      <c r="I14" s="4" t="s">
        <v>77</v>
      </c>
      <c r="J14" s="157">
        <v>2000</v>
      </c>
      <c r="K14" s="155">
        <v>161656</v>
      </c>
      <c r="L14" s="156">
        <v>58.8</v>
      </c>
      <c r="M14" s="4" t="s">
        <v>78</v>
      </c>
      <c r="N14" s="22" t="s">
        <v>79</v>
      </c>
    </row>
    <row r="15" spans="1:14" ht="35.25" customHeight="1">
      <c r="A15" s="17"/>
      <c r="B15" s="4"/>
      <c r="C15" s="18" t="s">
        <v>68</v>
      </c>
      <c r="D15" s="5" t="s">
        <v>80</v>
      </c>
      <c r="E15" s="4"/>
      <c r="F15" s="4"/>
      <c r="G15" s="4"/>
      <c r="H15" s="4"/>
      <c r="I15" s="4" t="s">
        <v>81</v>
      </c>
      <c r="J15" s="157">
        <v>1200</v>
      </c>
      <c r="K15" s="155">
        <v>26670</v>
      </c>
      <c r="L15" s="156">
        <v>45</v>
      </c>
      <c r="M15" s="4" t="s">
        <v>45</v>
      </c>
      <c r="N15" s="22" t="s">
        <v>82</v>
      </c>
    </row>
    <row r="16" spans="1:14" ht="35.25" customHeight="1">
      <c r="A16" s="17"/>
      <c r="B16" s="4"/>
      <c r="C16" s="18" t="s">
        <v>50</v>
      </c>
      <c r="D16" s="5" t="s">
        <v>83</v>
      </c>
      <c r="E16" s="4"/>
      <c r="F16" s="4"/>
      <c r="G16" s="4"/>
      <c r="H16" s="4"/>
      <c r="I16" s="4" t="s">
        <v>84</v>
      </c>
      <c r="J16" s="157">
        <v>2000</v>
      </c>
      <c r="K16" s="155">
        <v>94647</v>
      </c>
      <c r="L16" s="156">
        <v>46.8</v>
      </c>
      <c r="M16" s="28" t="s">
        <v>74</v>
      </c>
      <c r="N16" s="22" t="s">
        <v>85</v>
      </c>
    </row>
    <row r="17" spans="1:17" ht="35.25" customHeight="1">
      <c r="A17" s="17"/>
      <c r="B17" s="4"/>
      <c r="C17" s="18" t="s">
        <v>32</v>
      </c>
      <c r="D17" s="5" t="s">
        <v>86</v>
      </c>
      <c r="E17" s="4"/>
      <c r="F17" s="4"/>
      <c r="G17" s="4"/>
      <c r="H17" s="4"/>
      <c r="I17" s="4" t="s">
        <v>87</v>
      </c>
      <c r="J17" s="157">
        <v>2000</v>
      </c>
      <c r="K17" s="155">
        <v>147058</v>
      </c>
      <c r="L17" s="156">
        <v>78</v>
      </c>
      <c r="M17" s="4" t="s">
        <v>45</v>
      </c>
      <c r="N17" s="22" t="s">
        <v>88</v>
      </c>
    </row>
    <row r="18" spans="1:17" ht="35.25" customHeight="1">
      <c r="A18" s="17"/>
      <c r="B18" s="4"/>
      <c r="C18" s="18" t="s">
        <v>50</v>
      </c>
      <c r="D18" s="5" t="s">
        <v>76</v>
      </c>
      <c r="E18" s="4"/>
      <c r="F18" s="4"/>
      <c r="G18" s="4"/>
      <c r="H18" s="4"/>
      <c r="I18" s="4" t="s">
        <v>77</v>
      </c>
      <c r="J18" s="157">
        <v>2000</v>
      </c>
      <c r="K18" s="155">
        <v>161656</v>
      </c>
      <c r="L18" s="156">
        <v>58.8</v>
      </c>
      <c r="M18" s="4" t="s">
        <v>78</v>
      </c>
      <c r="N18" s="22" t="s">
        <v>79</v>
      </c>
    </row>
    <row r="19" spans="1:17" ht="35.25" customHeight="1">
      <c r="A19" s="17"/>
      <c r="B19" s="4"/>
      <c r="C19" s="18" t="s">
        <v>68</v>
      </c>
      <c r="D19" s="5" t="s">
        <v>80</v>
      </c>
      <c r="E19" s="4"/>
      <c r="F19" s="4"/>
      <c r="G19" s="4"/>
      <c r="H19" s="4"/>
      <c r="I19" s="4" t="s">
        <v>81</v>
      </c>
      <c r="J19" s="157">
        <v>1200</v>
      </c>
      <c r="K19" s="155">
        <v>26670</v>
      </c>
      <c r="L19" s="156">
        <v>45</v>
      </c>
      <c r="M19" s="4" t="s">
        <v>45</v>
      </c>
      <c r="N19" s="22" t="s">
        <v>82</v>
      </c>
    </row>
    <row r="20" spans="1:17" ht="35.25" customHeight="1">
      <c r="A20" s="17"/>
      <c r="B20" s="4"/>
      <c r="C20" s="18" t="s">
        <v>50</v>
      </c>
      <c r="D20" s="5" t="s">
        <v>83</v>
      </c>
      <c r="E20" s="4"/>
      <c r="F20" s="4"/>
      <c r="G20" s="4"/>
      <c r="H20" s="4"/>
      <c r="I20" s="4" t="s">
        <v>84</v>
      </c>
      <c r="J20" s="157">
        <v>2000</v>
      </c>
      <c r="K20" s="155">
        <v>94647</v>
      </c>
      <c r="L20" s="156">
        <v>46.8</v>
      </c>
      <c r="M20" s="4" t="s">
        <v>74</v>
      </c>
      <c r="N20" s="22" t="s">
        <v>85</v>
      </c>
    </row>
    <row r="21" spans="1:17" ht="35.25" customHeight="1">
      <c r="A21" s="17"/>
      <c r="B21" s="4"/>
      <c r="C21" s="18" t="s">
        <v>32</v>
      </c>
      <c r="D21" s="5" t="s">
        <v>86</v>
      </c>
      <c r="E21" s="4"/>
      <c r="F21" s="4"/>
      <c r="G21" s="4"/>
      <c r="H21" s="4"/>
      <c r="I21" s="4" t="s">
        <v>87</v>
      </c>
      <c r="J21" s="157">
        <v>2000</v>
      </c>
      <c r="K21" s="155">
        <v>147058</v>
      </c>
      <c r="L21" s="156">
        <v>78</v>
      </c>
      <c r="M21" s="4" t="s">
        <v>45</v>
      </c>
      <c r="N21" s="22" t="s">
        <v>88</v>
      </c>
    </row>
    <row r="22" spans="1:17" ht="35.25" customHeight="1">
      <c r="A22" s="17"/>
      <c r="B22" s="4"/>
      <c r="C22" s="18" t="s">
        <v>50</v>
      </c>
      <c r="D22" s="5" t="s">
        <v>83</v>
      </c>
      <c r="E22" s="4"/>
      <c r="F22" s="4"/>
      <c r="G22" s="4"/>
      <c r="H22" s="4"/>
      <c r="I22" s="4" t="s">
        <v>89</v>
      </c>
      <c r="J22" s="157">
        <v>2000</v>
      </c>
      <c r="K22" s="155">
        <v>143579</v>
      </c>
      <c r="L22" s="156">
        <v>47.8</v>
      </c>
      <c r="M22" s="4" t="s">
        <v>62</v>
      </c>
      <c r="N22" s="22" t="s">
        <v>90</v>
      </c>
    </row>
    <row r="23" spans="1:17" ht="35.25" customHeight="1">
      <c r="A23" s="17"/>
      <c r="B23" s="4"/>
      <c r="C23" s="18" t="s">
        <v>50</v>
      </c>
      <c r="D23" s="7" t="s">
        <v>72</v>
      </c>
      <c r="E23" s="4"/>
      <c r="F23" s="4"/>
      <c r="G23" s="4"/>
      <c r="H23" s="4"/>
      <c r="I23" s="4" t="s">
        <v>91</v>
      </c>
      <c r="J23" s="157">
        <v>1800</v>
      </c>
      <c r="K23" s="155">
        <v>11498</v>
      </c>
      <c r="L23" s="156">
        <v>99.8</v>
      </c>
      <c r="M23" s="29" t="s">
        <v>40</v>
      </c>
      <c r="N23" s="22" t="s">
        <v>92</v>
      </c>
      <c r="Q23" s="6">
        <v>0</v>
      </c>
    </row>
    <row r="24" spans="1:17" ht="35.25" customHeight="1">
      <c r="A24" s="17"/>
      <c r="B24" s="4"/>
      <c r="C24" s="18" t="s">
        <v>50</v>
      </c>
      <c r="D24" s="5" t="s">
        <v>93</v>
      </c>
      <c r="E24" s="4"/>
      <c r="F24" s="4"/>
      <c r="G24" s="4"/>
      <c r="H24" s="4"/>
      <c r="I24" s="4" t="s">
        <v>94</v>
      </c>
      <c r="J24" s="157">
        <v>1600</v>
      </c>
      <c r="K24" s="155">
        <v>7500</v>
      </c>
      <c r="L24" s="156">
        <v>39.799999999999997</v>
      </c>
      <c r="M24" s="4" t="s">
        <v>45</v>
      </c>
      <c r="N24" s="22" t="s">
        <v>95</v>
      </c>
    </row>
    <row r="25" spans="1:17" ht="35.25" customHeight="1">
      <c r="A25" s="17"/>
      <c r="B25" s="4"/>
      <c r="C25" s="18" t="s">
        <v>50</v>
      </c>
      <c r="D25" s="5" t="s">
        <v>72</v>
      </c>
      <c r="E25" s="4"/>
      <c r="F25" s="4"/>
      <c r="G25" s="4"/>
      <c r="H25" s="4"/>
      <c r="I25" s="4" t="s">
        <v>96</v>
      </c>
      <c r="J25" s="157">
        <v>1800</v>
      </c>
      <c r="K25" s="155">
        <v>79348</v>
      </c>
      <c r="L25" s="156">
        <v>34</v>
      </c>
      <c r="M25" s="28" t="s">
        <v>74</v>
      </c>
      <c r="N25" s="22" t="s">
        <v>97</v>
      </c>
    </row>
    <row r="26" spans="1:17" ht="35.25" customHeight="1">
      <c r="A26" s="17"/>
      <c r="B26" s="4"/>
      <c r="C26" s="18" t="s">
        <v>50</v>
      </c>
      <c r="D26" s="5" t="s">
        <v>98</v>
      </c>
      <c r="E26" s="4"/>
      <c r="F26" s="4"/>
      <c r="G26" s="4"/>
      <c r="H26" s="4"/>
      <c r="I26" s="4" t="s">
        <v>96</v>
      </c>
      <c r="J26" s="157">
        <v>1400</v>
      </c>
      <c r="K26" s="155">
        <v>144327</v>
      </c>
      <c r="L26" s="156">
        <v>43.8</v>
      </c>
      <c r="M26" s="27" t="s">
        <v>99</v>
      </c>
      <c r="N26" s="22" t="s">
        <v>100</v>
      </c>
    </row>
    <row r="27" spans="1:17" ht="35.25" customHeight="1">
      <c r="A27" s="17"/>
      <c r="B27" s="4"/>
      <c r="C27" s="18" t="s">
        <v>50</v>
      </c>
      <c r="D27" s="5" t="s">
        <v>98</v>
      </c>
      <c r="E27" s="4"/>
      <c r="F27" s="4"/>
      <c r="G27" s="4"/>
      <c r="H27" s="4"/>
      <c r="I27" s="4" t="s">
        <v>101</v>
      </c>
      <c r="J27" s="157">
        <v>3200</v>
      </c>
      <c r="K27" s="155">
        <v>106474</v>
      </c>
      <c r="L27" s="156">
        <v>34</v>
      </c>
      <c r="M27" s="26" t="s">
        <v>102</v>
      </c>
      <c r="N27" s="22" t="s">
        <v>103</v>
      </c>
    </row>
    <row r="28" spans="1:17" ht="35.25" customHeight="1">
      <c r="A28" s="17"/>
      <c r="B28" s="4"/>
      <c r="C28" s="18" t="s">
        <v>50</v>
      </c>
      <c r="D28" s="5" t="s">
        <v>104</v>
      </c>
      <c r="E28" s="4"/>
      <c r="F28" s="4"/>
      <c r="G28" s="4"/>
      <c r="H28" s="4"/>
      <c r="I28" s="4" t="s">
        <v>105</v>
      </c>
      <c r="J28" s="157">
        <v>1400</v>
      </c>
      <c r="K28" s="155">
        <v>82862</v>
      </c>
      <c r="L28" s="156">
        <v>47</v>
      </c>
      <c r="M28" s="4" t="s">
        <v>45</v>
      </c>
      <c r="N28" s="22" t="s">
        <v>106</v>
      </c>
    </row>
    <row r="29" spans="1:17">
      <c r="A29" s="17"/>
      <c r="B29" s="4"/>
      <c r="C29" s="18"/>
      <c r="D29" s="5"/>
      <c r="E29" s="4"/>
      <c r="F29" s="4"/>
      <c r="G29" s="4"/>
      <c r="H29" s="4"/>
      <c r="I29" s="4"/>
      <c r="J29" s="157"/>
      <c r="K29" s="155"/>
      <c r="L29" s="156"/>
      <c r="M29" s="4"/>
      <c r="N29" s="24"/>
    </row>
    <row r="30" spans="1:17">
      <c r="A30" s="17"/>
      <c r="B30" s="4"/>
      <c r="C30" s="18"/>
      <c r="D30" s="5"/>
      <c r="E30" s="4"/>
      <c r="F30" s="4"/>
      <c r="G30" s="4"/>
      <c r="H30" s="4"/>
      <c r="I30" s="4"/>
      <c r="J30" s="157"/>
      <c r="K30" s="155"/>
      <c r="L30" s="156"/>
      <c r="M30" s="4"/>
      <c r="N30" s="24"/>
    </row>
    <row r="31" spans="1:17">
      <c r="A31" s="17"/>
      <c r="B31" s="4"/>
      <c r="C31" s="18"/>
      <c r="D31" s="5"/>
      <c r="E31" s="4"/>
      <c r="F31" s="4"/>
      <c r="G31" s="4"/>
      <c r="H31" s="4"/>
      <c r="I31" s="4"/>
      <c r="J31" s="157"/>
      <c r="K31" s="155"/>
      <c r="L31" s="156"/>
      <c r="M31" s="4"/>
      <c r="N31" s="24"/>
    </row>
    <row r="32" spans="1:17">
      <c r="A32" s="17"/>
      <c r="B32" s="4"/>
      <c r="C32" s="18"/>
      <c r="D32" s="5"/>
      <c r="E32" s="4"/>
      <c r="F32" s="4"/>
      <c r="G32" s="4"/>
      <c r="H32" s="4"/>
      <c r="I32" s="4"/>
      <c r="J32" s="157"/>
      <c r="K32" s="155"/>
      <c r="L32" s="156"/>
      <c r="M32" s="4"/>
      <c r="N32" s="24"/>
    </row>
    <row r="33" spans="1:14">
      <c r="A33" s="17"/>
      <c r="B33" s="4"/>
      <c r="C33" s="18"/>
      <c r="D33" s="5"/>
      <c r="E33" s="4"/>
      <c r="F33" s="4"/>
      <c r="G33" s="4"/>
      <c r="H33" s="4"/>
      <c r="I33" s="4"/>
      <c r="J33" s="157"/>
      <c r="K33" s="155"/>
      <c r="L33" s="156"/>
      <c r="M33" s="4"/>
      <c r="N33" s="24"/>
    </row>
    <row r="34" spans="1:14">
      <c r="A34" s="17"/>
      <c r="B34" s="4"/>
      <c r="C34" s="18"/>
      <c r="D34" s="5"/>
      <c r="E34" s="4"/>
      <c r="F34" s="4"/>
      <c r="G34" s="4"/>
      <c r="H34" s="4"/>
      <c r="I34" s="4"/>
      <c r="J34" s="157"/>
      <c r="K34" s="155"/>
      <c r="L34" s="156"/>
      <c r="M34" s="4"/>
      <c r="N34" s="24"/>
    </row>
  </sheetData>
  <mergeCells count="1">
    <mergeCell ref="A1:N1"/>
  </mergeCells>
  <phoneticPr fontId="3" type="noConversion"/>
  <hyperlinks>
    <hyperlink ref="N3" r:id="rId1"/>
    <hyperlink ref="N4" r:id="rId2"/>
    <hyperlink ref="N5" r:id="rId3"/>
    <hyperlink ref="N6" r:id="rId4"/>
    <hyperlink ref="N7" r:id="rId5"/>
    <hyperlink ref="N8" r:id="rId6"/>
    <hyperlink ref="N9" r:id="rId7"/>
    <hyperlink ref="N10" r:id="rId8"/>
    <hyperlink ref="N11" r:id="rId9"/>
    <hyperlink ref="N12" r:id="rId10"/>
    <hyperlink ref="N13" r:id="rId11"/>
    <hyperlink ref="N14" r:id="rId12"/>
    <hyperlink ref="N15" r:id="rId13"/>
    <hyperlink ref="N16" r:id="rId14"/>
    <hyperlink ref="N17" r:id="rId15"/>
    <hyperlink ref="N18" r:id="rId16"/>
    <hyperlink ref="N19" r:id="rId17"/>
    <hyperlink ref="N20" r:id="rId18"/>
    <hyperlink ref="N21" r:id="rId19"/>
    <hyperlink ref="N22" r:id="rId20"/>
    <hyperlink ref="N23" r:id="rId21"/>
    <hyperlink ref="N24" r:id="rId22"/>
    <hyperlink ref="N25" r:id="rId23"/>
    <hyperlink ref="N26" r:id="rId24"/>
    <hyperlink ref="N27" r:id="rId25"/>
    <hyperlink ref="N28" r:id="rId26"/>
  </hyperlinks>
  <printOptions verticalCentered="1"/>
  <pageMargins left="0.31496062992125978" right="0.31496062992125978" top="0" bottom="0" header="0" footer="0.31496062992125978"/>
  <pageSetup paperSize="9" scale="7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20"/>
  <sheetViews>
    <sheetView workbookViewId="0">
      <pane ySplit="2" topLeftCell="A3" activePane="bottomLeft" state="frozen"/>
      <selection pane="bottomLeft" activeCell="B6" sqref="B6"/>
    </sheetView>
  </sheetViews>
  <sheetFormatPr defaultRowHeight="27.75"/>
  <cols>
    <col min="1" max="1" width="8.75" style="12" bestFit="1" customWidth="1"/>
    <col min="2" max="3" width="8.75" style="3" bestFit="1" customWidth="1"/>
    <col min="4" max="4" width="17" style="3" bestFit="1" customWidth="1"/>
    <col min="5" max="7" width="19.75" style="3" bestFit="1" customWidth="1"/>
    <col min="8" max="8" width="8.75" style="3" bestFit="1" customWidth="1"/>
    <col min="9" max="12" width="9" style="3" customWidth="1"/>
    <col min="13" max="16384" width="9" style="3"/>
  </cols>
  <sheetData>
    <row r="1" spans="1:8" ht="32.25" customHeight="1">
      <c r="A1" s="173" t="s">
        <v>107</v>
      </c>
      <c r="B1" s="174"/>
      <c r="C1" s="174"/>
      <c r="D1" s="174"/>
      <c r="E1" s="174"/>
      <c r="F1" s="174"/>
      <c r="G1" s="174"/>
      <c r="H1" s="174"/>
    </row>
    <row r="2" spans="1:8" s="12" customFormat="1">
      <c r="A2" s="11" t="s">
        <v>10</v>
      </c>
      <c r="B2" s="11" t="s">
        <v>11</v>
      </c>
      <c r="C2" s="11" t="s">
        <v>12</v>
      </c>
      <c r="D2" s="11" t="s">
        <v>108</v>
      </c>
      <c r="E2" s="11" t="s">
        <v>109</v>
      </c>
      <c r="F2" s="11" t="s">
        <v>110</v>
      </c>
      <c r="G2" s="11" t="s">
        <v>111</v>
      </c>
      <c r="H2" s="11" t="s">
        <v>8</v>
      </c>
    </row>
    <row r="3" spans="1:8">
      <c r="A3" s="11">
        <v>1</v>
      </c>
      <c r="B3" s="2"/>
      <c r="C3" s="2"/>
      <c r="D3" s="2"/>
      <c r="E3" s="2"/>
      <c r="F3" s="2"/>
      <c r="G3" s="2"/>
      <c r="H3" s="2"/>
    </row>
    <row r="4" spans="1:8">
      <c r="A4" s="11">
        <v>2</v>
      </c>
      <c r="B4" s="2"/>
      <c r="C4" s="2"/>
      <c r="D4" s="2"/>
      <c r="E4" s="2"/>
      <c r="F4" s="2"/>
      <c r="G4" s="2"/>
      <c r="H4" s="2"/>
    </row>
    <row r="5" spans="1:8">
      <c r="A5" s="11">
        <v>3</v>
      </c>
      <c r="B5" s="2"/>
      <c r="C5" s="2"/>
      <c r="D5" s="2"/>
      <c r="E5" s="2"/>
      <c r="F5" s="2"/>
      <c r="G5" s="2"/>
      <c r="H5" s="2"/>
    </row>
    <row r="6" spans="1:8">
      <c r="A6" s="11">
        <v>4</v>
      </c>
      <c r="B6" s="2"/>
      <c r="C6" s="2"/>
      <c r="D6" s="2"/>
      <c r="E6" s="2"/>
      <c r="F6" s="2"/>
      <c r="G6" s="2"/>
      <c r="H6" s="2"/>
    </row>
    <row r="7" spans="1:8">
      <c r="A7" s="11">
        <v>5</v>
      </c>
      <c r="B7" s="2"/>
      <c r="C7" s="2"/>
      <c r="D7" s="2"/>
      <c r="E7" s="2"/>
      <c r="F7" s="2"/>
      <c r="G7" s="2"/>
      <c r="H7" s="2"/>
    </row>
    <row r="8" spans="1:8">
      <c r="A8" s="11">
        <v>6</v>
      </c>
      <c r="B8" s="2"/>
      <c r="C8" s="2"/>
      <c r="D8" s="2"/>
      <c r="E8" s="2"/>
      <c r="F8" s="2"/>
      <c r="G8" s="2"/>
      <c r="H8" s="2"/>
    </row>
    <row r="9" spans="1:8">
      <c r="A9" s="11">
        <v>7</v>
      </c>
      <c r="B9" s="2"/>
      <c r="C9" s="2"/>
      <c r="D9" s="2"/>
      <c r="E9" s="2"/>
      <c r="F9" s="2"/>
      <c r="G9" s="2"/>
      <c r="H9" s="2"/>
    </row>
    <row r="10" spans="1:8">
      <c r="A10" s="11">
        <v>8</v>
      </c>
      <c r="B10" s="2"/>
      <c r="C10" s="2"/>
      <c r="D10" s="2"/>
      <c r="E10" s="2"/>
      <c r="F10" s="2"/>
      <c r="G10" s="2"/>
      <c r="H10" s="2"/>
    </row>
    <row r="11" spans="1:8">
      <c r="A11" s="11">
        <v>9</v>
      </c>
      <c r="B11" s="2"/>
      <c r="C11" s="2"/>
      <c r="D11" s="2"/>
      <c r="E11" s="2"/>
      <c r="F11" s="2"/>
      <c r="G11" s="2"/>
      <c r="H11" s="2"/>
    </row>
    <row r="12" spans="1:8">
      <c r="A12" s="11">
        <v>10</v>
      </c>
      <c r="B12" s="2"/>
      <c r="C12" s="2"/>
      <c r="D12" s="2"/>
      <c r="E12" s="2"/>
      <c r="F12" s="2"/>
      <c r="G12" s="2"/>
      <c r="H12" s="2"/>
    </row>
    <row r="13" spans="1:8">
      <c r="A13" s="11">
        <v>11</v>
      </c>
      <c r="B13" s="2"/>
      <c r="C13" s="2"/>
      <c r="D13" s="2"/>
      <c r="E13" s="2"/>
      <c r="F13" s="2"/>
      <c r="G13" s="2"/>
      <c r="H13" s="2"/>
    </row>
    <row r="14" spans="1:8">
      <c r="A14" s="11">
        <v>12</v>
      </c>
      <c r="B14" s="2"/>
      <c r="C14" s="2"/>
      <c r="D14" s="2"/>
      <c r="E14" s="2"/>
      <c r="F14" s="2"/>
      <c r="G14" s="2"/>
      <c r="H14" s="2"/>
    </row>
    <row r="15" spans="1:8">
      <c r="A15" s="11">
        <v>13</v>
      </c>
      <c r="B15" s="2"/>
      <c r="C15" s="2"/>
      <c r="D15" s="2"/>
      <c r="E15" s="2"/>
      <c r="F15" s="2"/>
      <c r="G15" s="2"/>
      <c r="H15" s="2"/>
    </row>
    <row r="16" spans="1:8">
      <c r="A16" s="11">
        <v>14</v>
      </c>
      <c r="B16" s="2"/>
      <c r="C16" s="2"/>
      <c r="D16" s="2"/>
      <c r="E16" s="2"/>
      <c r="F16" s="2"/>
      <c r="G16" s="2"/>
      <c r="H16" s="2"/>
    </row>
    <row r="17" spans="1:8">
      <c r="A17" s="11">
        <v>15</v>
      </c>
      <c r="B17" s="2"/>
      <c r="C17" s="2"/>
      <c r="D17" s="2"/>
      <c r="E17" s="2"/>
      <c r="F17" s="2"/>
      <c r="G17" s="2"/>
      <c r="H17" s="2"/>
    </row>
    <row r="18" spans="1:8">
      <c r="A18" s="11">
        <v>16</v>
      </c>
      <c r="B18" s="2"/>
      <c r="C18" s="2"/>
      <c r="D18" s="2"/>
      <c r="E18" s="2"/>
      <c r="F18" s="2"/>
      <c r="G18" s="2"/>
      <c r="H18" s="2"/>
    </row>
    <row r="19" spans="1:8">
      <c r="A19" s="11">
        <v>17</v>
      </c>
      <c r="B19" s="2"/>
      <c r="C19" s="2"/>
      <c r="D19" s="2"/>
      <c r="E19" s="2"/>
      <c r="F19" s="2"/>
      <c r="G19" s="2"/>
      <c r="H19" s="2"/>
    </row>
    <row r="20" spans="1:8">
      <c r="A20" s="11">
        <v>18</v>
      </c>
      <c r="B20" s="2"/>
      <c r="C20" s="2"/>
      <c r="D20" s="2"/>
      <c r="E20" s="2"/>
      <c r="F20" s="2"/>
      <c r="G20" s="2"/>
      <c r="H20" s="2"/>
    </row>
  </sheetData>
  <mergeCells count="1">
    <mergeCell ref="A1:H1"/>
  </mergeCells>
  <phoneticPr fontId="3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opLeftCell="B1" workbookViewId="0">
      <selection activeCell="I35" sqref="I35"/>
    </sheetView>
  </sheetViews>
  <sheetFormatPr defaultRowHeight="16.5"/>
  <cols>
    <col min="1" max="1" width="14" style="149" bestFit="1" customWidth="1"/>
  </cols>
  <sheetData>
    <row r="1" spans="1:2">
      <c r="A1" t="s">
        <v>112</v>
      </c>
      <c r="B1" t="s">
        <v>113</v>
      </c>
    </row>
    <row r="2" spans="1:2">
      <c r="A2" t="s">
        <v>114</v>
      </c>
      <c r="B2" t="s">
        <v>115</v>
      </c>
    </row>
    <row r="3" spans="1:2">
      <c r="A3" t="s">
        <v>116</v>
      </c>
      <c r="B3" t="s">
        <v>117</v>
      </c>
    </row>
    <row r="4" spans="1:2">
      <c r="A4" t="s">
        <v>118</v>
      </c>
      <c r="B4" t="s">
        <v>119</v>
      </c>
    </row>
    <row r="5" spans="1:2">
      <c r="A5" t="s">
        <v>120</v>
      </c>
      <c r="B5" t="s">
        <v>121</v>
      </c>
    </row>
    <row r="6" spans="1:2">
      <c r="A6" t="s">
        <v>122</v>
      </c>
      <c r="B6" t="s">
        <v>123</v>
      </c>
    </row>
    <row r="7" spans="1:2">
      <c r="A7" t="s">
        <v>124</v>
      </c>
      <c r="B7" t="s">
        <v>125</v>
      </c>
    </row>
    <row r="8" spans="1:2">
      <c r="A8" t="s">
        <v>126</v>
      </c>
      <c r="B8" t="s">
        <v>127</v>
      </c>
    </row>
    <row r="9" spans="1:2">
      <c r="A9" t="s">
        <v>128</v>
      </c>
      <c r="B9" t="s">
        <v>129</v>
      </c>
    </row>
    <row r="10" spans="1:2">
      <c r="A10" t="s">
        <v>130</v>
      </c>
      <c r="B10" t="s">
        <v>131</v>
      </c>
    </row>
    <row r="11" spans="1:2">
      <c r="A11" t="s">
        <v>132</v>
      </c>
      <c r="B11" t="s">
        <v>133</v>
      </c>
    </row>
    <row r="12" spans="1:2">
      <c r="A12" t="s">
        <v>134</v>
      </c>
      <c r="B12" t="s">
        <v>135</v>
      </c>
    </row>
    <row r="13" spans="1:2">
      <c r="A13" t="s">
        <v>136</v>
      </c>
      <c r="B13" t="s">
        <v>137</v>
      </c>
    </row>
    <row r="14" spans="1:2">
      <c r="A14" t="s">
        <v>138</v>
      </c>
      <c r="B14" t="s">
        <v>139</v>
      </c>
    </row>
    <row r="15" spans="1:2">
      <c r="A15" t="s">
        <v>140</v>
      </c>
      <c r="B15" t="s">
        <v>141</v>
      </c>
    </row>
    <row r="16" spans="1:2">
      <c r="A16" t="s">
        <v>142</v>
      </c>
      <c r="B16" t="s">
        <v>143</v>
      </c>
    </row>
    <row r="17" spans="1:2">
      <c r="A17" t="s">
        <v>144</v>
      </c>
      <c r="B17" t="s">
        <v>117</v>
      </c>
    </row>
    <row r="18" spans="1:2">
      <c r="A18" t="s">
        <v>145</v>
      </c>
      <c r="B18" t="s">
        <v>146</v>
      </c>
    </row>
    <row r="19" spans="1:2">
      <c r="A19" t="s">
        <v>147</v>
      </c>
      <c r="B19" t="s">
        <v>148</v>
      </c>
    </row>
    <row r="20" spans="1:2">
      <c r="A20" t="s">
        <v>149</v>
      </c>
      <c r="B20" t="s">
        <v>150</v>
      </c>
    </row>
    <row r="21" spans="1:2">
      <c r="A21" t="s">
        <v>151</v>
      </c>
      <c r="B21" t="s">
        <v>152</v>
      </c>
    </row>
    <row r="22" spans="1:2">
      <c r="A22" t="s">
        <v>153</v>
      </c>
      <c r="B22" t="s">
        <v>154</v>
      </c>
    </row>
    <row r="23" spans="1:2">
      <c r="A23" t="s">
        <v>155</v>
      </c>
      <c r="B23" t="s">
        <v>156</v>
      </c>
    </row>
    <row r="24" spans="1:2">
      <c r="A24" t="s">
        <v>157</v>
      </c>
      <c r="B24" t="s">
        <v>158</v>
      </c>
    </row>
    <row r="25" spans="1:2">
      <c r="A25" t="s">
        <v>159</v>
      </c>
      <c r="B25" t="s">
        <v>160</v>
      </c>
    </row>
    <row r="26" spans="1:2">
      <c r="A26" t="s">
        <v>161</v>
      </c>
      <c r="B26" t="s">
        <v>162</v>
      </c>
    </row>
    <row r="27" spans="1:2">
      <c r="A27" t="s">
        <v>163</v>
      </c>
      <c r="B27" t="s">
        <v>164</v>
      </c>
    </row>
    <row r="28" spans="1:2">
      <c r="A28" t="s">
        <v>165</v>
      </c>
      <c r="B28" t="s">
        <v>166</v>
      </c>
    </row>
    <row r="29" spans="1:2">
      <c r="A29" t="s">
        <v>167</v>
      </c>
      <c r="B29" t="s">
        <v>168</v>
      </c>
    </row>
    <row r="30" spans="1:2">
      <c r="A30" t="s">
        <v>169</v>
      </c>
      <c r="B30" t="s">
        <v>170</v>
      </c>
    </row>
    <row r="31" spans="1:2">
      <c r="A31" t="s">
        <v>171</v>
      </c>
      <c r="B31" t="s">
        <v>172</v>
      </c>
    </row>
    <row r="32" spans="1:2">
      <c r="A32" t="s">
        <v>173</v>
      </c>
      <c r="B32" t="s">
        <v>174</v>
      </c>
    </row>
    <row r="33" spans="1:2">
      <c r="A33" t="s">
        <v>175</v>
      </c>
      <c r="B33" t="s">
        <v>176</v>
      </c>
    </row>
  </sheetData>
  <phoneticPr fontId="3" type="noConversion"/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selection activeCell="E1" sqref="E1"/>
    </sheetView>
  </sheetViews>
  <sheetFormatPr defaultRowHeight="16.5"/>
  <cols>
    <col min="1" max="1" width="8.5" style="149" bestFit="1" customWidth="1"/>
    <col min="2" max="2" width="12.125" style="149" bestFit="1" customWidth="1"/>
    <col min="3" max="3" width="5.625" style="31" bestFit="1" customWidth="1"/>
    <col min="4" max="4" width="2.125" style="3" bestFit="1" customWidth="1"/>
    <col min="5" max="5" width="5.5" style="30" bestFit="1" customWidth="1"/>
  </cols>
  <sheetData>
    <row r="1" spans="1:9">
      <c r="A1" s="158">
        <v>42748</v>
      </c>
      <c r="B1" t="s">
        <v>177</v>
      </c>
      <c r="C1" s="31" t="s">
        <v>178</v>
      </c>
      <c r="D1" s="3" t="s">
        <v>179</v>
      </c>
      <c r="E1" s="30">
        <v>3191</v>
      </c>
      <c r="F1">
        <v>19288</v>
      </c>
      <c r="G1">
        <v>70000</v>
      </c>
      <c r="H1">
        <v>50712</v>
      </c>
      <c r="I1" t="s">
        <v>180</v>
      </c>
    </row>
    <row r="2" spans="1:9">
      <c r="A2" s="158">
        <v>42748</v>
      </c>
      <c r="B2" t="s">
        <v>181</v>
      </c>
      <c r="C2" s="31">
        <v>7168</v>
      </c>
      <c r="D2" s="3" t="s">
        <v>179</v>
      </c>
      <c r="E2" s="30" t="s">
        <v>182</v>
      </c>
      <c r="F2">
        <v>19358</v>
      </c>
      <c r="H2">
        <v>31354</v>
      </c>
    </row>
    <row r="3" spans="1:9">
      <c r="A3" s="158">
        <v>42748</v>
      </c>
      <c r="D3" s="3" t="s">
        <v>179</v>
      </c>
      <c r="F3">
        <v>19407</v>
      </c>
      <c r="H3">
        <v>11947</v>
      </c>
    </row>
    <row r="4" spans="1:9">
      <c r="A4" s="158">
        <v>42748</v>
      </c>
      <c r="D4" s="3" t="s">
        <v>179</v>
      </c>
      <c r="F4">
        <v>15468</v>
      </c>
      <c r="H4">
        <v>3521</v>
      </c>
    </row>
    <row r="5" spans="1:9">
      <c r="A5" s="158">
        <v>42751</v>
      </c>
      <c r="D5" s="3" t="s">
        <v>179</v>
      </c>
      <c r="F5">
        <v>1635</v>
      </c>
      <c r="H5">
        <v>5156</v>
      </c>
    </row>
    <row r="6" spans="1:9">
      <c r="A6" s="158">
        <v>42755</v>
      </c>
      <c r="D6" s="3" t="s">
        <v>179</v>
      </c>
      <c r="F6">
        <v>15748</v>
      </c>
      <c r="H6">
        <v>20904</v>
      </c>
    </row>
    <row r="7" spans="1:9">
      <c r="A7" s="158">
        <v>42758</v>
      </c>
      <c r="D7" s="3" t="s">
        <v>179</v>
      </c>
      <c r="F7">
        <v>16563</v>
      </c>
      <c r="H7">
        <v>37467</v>
      </c>
    </row>
    <row r="8" spans="1:9">
      <c r="A8" s="158">
        <v>42753</v>
      </c>
      <c r="D8" s="3" t="s">
        <v>179</v>
      </c>
      <c r="F8">
        <v>25269</v>
      </c>
      <c r="H8">
        <v>62736</v>
      </c>
    </row>
    <row r="9" spans="1:9">
      <c r="A9" s="158">
        <v>42758</v>
      </c>
      <c r="D9" s="3" t="s">
        <v>179</v>
      </c>
      <c r="F9">
        <v>1109</v>
      </c>
      <c r="G9">
        <v>50000</v>
      </c>
      <c r="H9">
        <v>13845</v>
      </c>
      <c r="I9" t="s">
        <v>183</v>
      </c>
    </row>
    <row r="10" spans="1:9">
      <c r="A10" s="158">
        <v>42759</v>
      </c>
      <c r="D10" s="3" t="s">
        <v>179</v>
      </c>
      <c r="F10">
        <v>1901</v>
      </c>
      <c r="H10">
        <v>15746</v>
      </c>
    </row>
    <row r="11" spans="1:9">
      <c r="A11" s="158">
        <v>42759</v>
      </c>
      <c r="D11" s="3" t="s">
        <v>179</v>
      </c>
      <c r="F11">
        <v>19569</v>
      </c>
      <c r="H11">
        <v>35315</v>
      </c>
    </row>
    <row r="12" spans="1:9">
      <c r="A12" s="158">
        <v>42759</v>
      </c>
      <c r="D12" s="3" t="s">
        <v>179</v>
      </c>
      <c r="F12">
        <v>13668</v>
      </c>
      <c r="H12">
        <v>48983</v>
      </c>
      <c r="I12" t="s">
        <v>184</v>
      </c>
    </row>
    <row r="13" spans="1:9">
      <c r="A13" s="158">
        <v>42759</v>
      </c>
      <c r="D13" s="3" t="s">
        <v>179</v>
      </c>
      <c r="F13">
        <v>20482</v>
      </c>
      <c r="H13">
        <v>69465</v>
      </c>
    </row>
    <row r="14" spans="1:9">
      <c r="A14" s="158">
        <v>42760</v>
      </c>
      <c r="D14" s="3" t="s">
        <v>179</v>
      </c>
      <c r="F14">
        <v>13229</v>
      </c>
      <c r="H14">
        <v>82694</v>
      </c>
    </row>
    <row r="15" spans="1:9">
      <c r="A15" s="158">
        <v>42760</v>
      </c>
      <c r="D15" s="3" t="s">
        <v>179</v>
      </c>
      <c r="F15">
        <v>4000</v>
      </c>
      <c r="H15">
        <v>86694</v>
      </c>
    </row>
    <row r="16" spans="1:9">
      <c r="D16" s="3" t="s">
        <v>179</v>
      </c>
      <c r="G16">
        <v>15000</v>
      </c>
      <c r="H16">
        <v>63306</v>
      </c>
    </row>
    <row r="17" spans="4:8">
      <c r="D17" s="3" t="s">
        <v>179</v>
      </c>
      <c r="F17">
        <v>36526</v>
      </c>
      <c r="H17">
        <v>26780</v>
      </c>
    </row>
    <row r="18" spans="4:8">
      <c r="D18" s="3" t="s">
        <v>179</v>
      </c>
      <c r="F18">
        <v>11859</v>
      </c>
      <c r="H18">
        <v>14921</v>
      </c>
    </row>
    <row r="19" spans="4:8">
      <c r="D19" s="3" t="s">
        <v>179</v>
      </c>
      <c r="F19">
        <v>18740</v>
      </c>
      <c r="H19">
        <v>3819</v>
      </c>
    </row>
    <row r="20" spans="4:8">
      <c r="D20" s="3" t="s">
        <v>179</v>
      </c>
    </row>
    <row r="21" spans="4:8">
      <c r="D21" s="3" t="s">
        <v>179</v>
      </c>
    </row>
    <row r="22" spans="4:8">
      <c r="D22" s="3" t="s">
        <v>179</v>
      </c>
    </row>
    <row r="23" spans="4:8">
      <c r="D23" s="3" t="s">
        <v>179</v>
      </c>
    </row>
    <row r="24" spans="4:8">
      <c r="D24" s="3" t="s">
        <v>179</v>
      </c>
    </row>
    <row r="25" spans="4:8">
      <c r="D25" s="3" t="s">
        <v>179</v>
      </c>
    </row>
    <row r="26" spans="4:8">
      <c r="D26" s="3" t="s">
        <v>179</v>
      </c>
    </row>
    <row r="27" spans="4:8">
      <c r="D27" s="3" t="s">
        <v>179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ySplit="1" topLeftCell="A2" activePane="bottomLeft" state="frozen"/>
      <selection pane="bottomLeft" activeCell="I28" sqref="I28"/>
    </sheetView>
  </sheetViews>
  <sheetFormatPr defaultRowHeight="16.5"/>
  <cols>
    <col min="1" max="1" width="18.25" style="149" customWidth="1"/>
    <col min="2" max="2" width="8" style="149" customWidth="1"/>
    <col min="3" max="3" width="16" style="149" customWidth="1"/>
    <col min="4" max="4" width="31.75" style="149" customWidth="1"/>
    <col min="5" max="5" width="0.25" style="149" hidden="1" customWidth="1"/>
    <col min="6" max="6" width="14.375" style="149" customWidth="1"/>
    <col min="7" max="7" width="9.25" style="149" customWidth="1"/>
  </cols>
  <sheetData>
    <row r="1" spans="1:7" ht="41.25" customHeight="1">
      <c r="B1" s="178" t="s">
        <v>185</v>
      </c>
      <c r="C1" s="179"/>
      <c r="D1" s="179"/>
      <c r="E1" s="179"/>
      <c r="F1" s="179"/>
      <c r="G1" s="179"/>
    </row>
    <row r="2" spans="1:7" s="12" customFormat="1" ht="39.75" customHeight="1">
      <c r="A2" s="11" t="s">
        <v>186</v>
      </c>
      <c r="B2" s="13" t="s">
        <v>1</v>
      </c>
      <c r="C2" s="13" t="s">
        <v>187</v>
      </c>
      <c r="D2" s="13" t="s">
        <v>20</v>
      </c>
      <c r="E2" s="13" t="s">
        <v>188</v>
      </c>
      <c r="F2" s="13" t="s">
        <v>11</v>
      </c>
      <c r="G2" s="13" t="s">
        <v>8</v>
      </c>
    </row>
    <row r="3" spans="1:7" s="33" customFormat="1" ht="38.25" customHeight="1">
      <c r="A3" s="10"/>
      <c r="B3" s="34"/>
      <c r="C3" s="32"/>
      <c r="D3" s="32"/>
      <c r="E3" s="32"/>
      <c r="F3" s="32"/>
      <c r="G3" s="32"/>
    </row>
    <row r="4" spans="1:7" s="33" customFormat="1" ht="38.25" customHeight="1">
      <c r="A4" s="10"/>
      <c r="B4" s="35"/>
      <c r="C4" s="32"/>
      <c r="D4" s="32"/>
      <c r="E4" s="32"/>
      <c r="F4" s="32"/>
      <c r="G4" s="32"/>
    </row>
    <row r="5" spans="1:7" s="33" customFormat="1" ht="38.25" customHeight="1">
      <c r="A5" s="10"/>
      <c r="B5" s="35"/>
      <c r="C5" s="32"/>
      <c r="D5" s="32"/>
      <c r="E5" s="32"/>
      <c r="F5" s="32"/>
      <c r="G5" s="32"/>
    </row>
    <row r="6" spans="1:7" s="33" customFormat="1" ht="38.25" customHeight="1">
      <c r="A6" s="10"/>
      <c r="B6" s="35"/>
      <c r="C6" s="32"/>
      <c r="D6" s="32"/>
      <c r="E6" s="32"/>
      <c r="F6" s="32"/>
      <c r="G6" s="32"/>
    </row>
    <row r="7" spans="1:7" s="33" customFormat="1" ht="38.25" customHeight="1">
      <c r="A7" s="10"/>
      <c r="B7" s="35"/>
      <c r="C7" s="32"/>
      <c r="D7" s="32"/>
      <c r="E7" s="32"/>
      <c r="F7" s="32"/>
      <c r="G7" s="32"/>
    </row>
    <row r="8" spans="1:7" s="33" customFormat="1" ht="38.25" customHeight="1">
      <c r="A8" s="10"/>
      <c r="B8" s="35"/>
      <c r="C8" s="32"/>
      <c r="D8" s="32"/>
      <c r="E8" s="32"/>
      <c r="F8" s="32"/>
      <c r="G8" s="32"/>
    </row>
    <row r="9" spans="1:7" s="33" customFormat="1" ht="38.25" customHeight="1">
      <c r="A9" s="10"/>
      <c r="B9" s="35"/>
      <c r="C9" s="32"/>
      <c r="D9" s="32"/>
      <c r="E9" s="32"/>
      <c r="F9" s="32"/>
      <c r="G9" s="32"/>
    </row>
    <row r="10" spans="1:7" s="33" customFormat="1" ht="38.25" customHeight="1">
      <c r="A10" s="10"/>
      <c r="B10" s="35"/>
      <c r="C10" s="32"/>
      <c r="D10" s="32"/>
      <c r="E10" s="32"/>
      <c r="F10" s="32"/>
      <c r="G10" s="32"/>
    </row>
    <row r="11" spans="1:7" s="33" customFormat="1" ht="38.25" customHeight="1">
      <c r="A11" s="10"/>
      <c r="B11" s="35"/>
      <c r="C11" s="32"/>
      <c r="D11" s="32"/>
      <c r="E11" s="32"/>
      <c r="F11" s="32"/>
      <c r="G11" s="32"/>
    </row>
    <row r="12" spans="1:7" s="33" customFormat="1" ht="38.25" customHeight="1">
      <c r="A12" s="86"/>
      <c r="B12" s="35"/>
      <c r="C12" s="87"/>
      <c r="D12" s="34"/>
      <c r="E12" s="32"/>
      <c r="F12" s="34"/>
      <c r="G12" s="32"/>
    </row>
    <row r="13" spans="1:7" s="33" customFormat="1" ht="38.25" customHeight="1">
      <c r="A13" s="10"/>
      <c r="B13" s="35"/>
      <c r="C13" s="32"/>
      <c r="D13" s="32"/>
      <c r="E13" s="32"/>
      <c r="F13" s="32"/>
      <c r="G13" s="32"/>
    </row>
    <row r="14" spans="1:7" s="33" customFormat="1" ht="38.25" customHeight="1">
      <c r="A14" s="10"/>
      <c r="B14" s="35"/>
      <c r="C14" s="32"/>
      <c r="D14" s="32"/>
      <c r="E14" s="32"/>
      <c r="F14" s="32"/>
      <c r="G14" s="32"/>
    </row>
    <row r="15" spans="1:7" s="33" customFormat="1" ht="38.25" customHeight="1">
      <c r="A15" s="10"/>
      <c r="B15" s="35"/>
      <c r="C15" s="32"/>
      <c r="D15" s="32"/>
      <c r="E15" s="32"/>
      <c r="F15" s="32"/>
      <c r="G15" s="32"/>
    </row>
    <row r="16" spans="1:7" s="33" customFormat="1" ht="38.25" customHeight="1">
      <c r="A16" s="10"/>
      <c r="B16" s="35"/>
      <c r="C16" s="32"/>
      <c r="D16" s="32"/>
      <c r="E16" s="32"/>
      <c r="F16" s="32"/>
      <c r="G16" s="32"/>
    </row>
    <row r="17" spans="1:7" s="33" customFormat="1" ht="38.25" customHeight="1">
      <c r="A17" s="10"/>
      <c r="B17" s="35"/>
      <c r="C17" s="32"/>
      <c r="D17" s="32"/>
      <c r="E17" s="32"/>
      <c r="F17" s="32"/>
      <c r="G17" s="32"/>
    </row>
    <row r="18" spans="1:7" s="33" customFormat="1" ht="38.25" customHeight="1">
      <c r="A18" s="10"/>
      <c r="B18" s="35"/>
      <c r="C18" s="32"/>
      <c r="D18" s="32"/>
      <c r="E18" s="32"/>
      <c r="F18" s="32"/>
      <c r="G18" s="32"/>
    </row>
    <row r="19" spans="1:7" s="33" customFormat="1" ht="32.25" customHeight="1">
      <c r="A19" s="89"/>
      <c r="B19" s="89"/>
      <c r="C19" s="91"/>
      <c r="D19" s="91"/>
      <c r="E19" s="90"/>
      <c r="F19" s="91"/>
      <c r="G19" s="90"/>
    </row>
    <row r="20" spans="1:7" s="33" customFormat="1" ht="38.25" customHeight="1">
      <c r="A20" s="10"/>
      <c r="B20" s="35"/>
      <c r="C20" s="32"/>
      <c r="D20" s="32"/>
      <c r="E20" s="32"/>
      <c r="F20" s="32"/>
      <c r="G20" s="32"/>
    </row>
  </sheetData>
  <mergeCells count="1">
    <mergeCell ref="B1:G1"/>
  </mergeCells>
  <phoneticPr fontId="3" type="noConversion"/>
  <pageMargins left="0.25" right="0.25" top="0.75" bottom="0.75" header="0.3" footer="0.3"/>
  <pageSetup paperSize="9" fitToWidth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2"/>
  <sheetViews>
    <sheetView zoomScale="55" zoomScaleNormal="55" workbookViewId="0">
      <selection activeCell="A24" sqref="A24"/>
    </sheetView>
  </sheetViews>
  <sheetFormatPr defaultRowHeight="16.5"/>
  <cols>
    <col min="1" max="1" width="4.625" style="37" customWidth="1"/>
    <col min="2" max="2" width="8.625" style="36" customWidth="1"/>
    <col min="3" max="3" width="28.625" style="36" customWidth="1"/>
    <col min="4" max="4" width="22.625" style="36" customWidth="1"/>
    <col min="5" max="5" width="38.625" style="36" customWidth="1"/>
    <col min="6" max="8" width="18.625" style="36" customWidth="1"/>
    <col min="9" max="12" width="9" style="36" customWidth="1"/>
    <col min="13" max="16384" width="9" style="36"/>
  </cols>
  <sheetData>
    <row r="1" spans="1:8" ht="21.75" customHeight="1" thickBot="1">
      <c r="A1" s="180" t="s">
        <v>189</v>
      </c>
      <c r="B1" s="181"/>
      <c r="C1" s="181"/>
      <c r="D1" s="181"/>
      <c r="E1" s="181"/>
      <c r="F1" s="181"/>
      <c r="G1" s="181"/>
      <c r="H1" s="182"/>
    </row>
    <row r="2" spans="1:8" ht="21" customHeight="1">
      <c r="A2" s="45" t="s">
        <v>190</v>
      </c>
      <c r="B2" s="44" t="s">
        <v>1</v>
      </c>
      <c r="C2" s="44" t="s">
        <v>11</v>
      </c>
      <c r="D2" s="44" t="s">
        <v>12</v>
      </c>
      <c r="E2" s="44" t="s">
        <v>191</v>
      </c>
      <c r="F2" s="44" t="s">
        <v>192</v>
      </c>
      <c r="G2" s="44" t="s">
        <v>193</v>
      </c>
      <c r="H2" s="43" t="s">
        <v>8</v>
      </c>
    </row>
    <row r="3" spans="1:8" ht="33.75" customHeight="1">
      <c r="A3" s="40">
        <v>1</v>
      </c>
      <c r="B3" s="42"/>
      <c r="C3" s="42"/>
      <c r="D3" s="42"/>
      <c r="E3" s="42"/>
      <c r="F3" s="42"/>
      <c r="G3" s="42"/>
      <c r="H3" s="41"/>
    </row>
    <row r="4" spans="1:8" ht="33.75" customHeight="1">
      <c r="A4" s="40">
        <v>2</v>
      </c>
      <c r="B4" s="42"/>
      <c r="C4" s="42"/>
      <c r="D4" s="42"/>
      <c r="E4" s="42"/>
      <c r="F4" s="42"/>
      <c r="G4" s="42"/>
      <c r="H4" s="41"/>
    </row>
    <row r="5" spans="1:8" ht="33.75" customHeight="1">
      <c r="A5" s="40">
        <v>3</v>
      </c>
      <c r="B5" s="42"/>
      <c r="C5" s="42"/>
      <c r="D5" s="42"/>
      <c r="E5" s="42"/>
      <c r="F5" s="42"/>
      <c r="G5" s="42"/>
      <c r="H5" s="41"/>
    </row>
    <row r="6" spans="1:8" ht="33.75" customHeight="1">
      <c r="A6" s="40">
        <v>4</v>
      </c>
      <c r="B6" s="42"/>
      <c r="C6" s="42"/>
      <c r="D6" s="42"/>
      <c r="E6" s="42"/>
      <c r="F6" s="42"/>
      <c r="G6" s="42"/>
      <c r="H6" s="41"/>
    </row>
    <row r="7" spans="1:8" ht="33.75" customHeight="1">
      <c r="A7" s="40">
        <v>5</v>
      </c>
      <c r="B7" s="42"/>
      <c r="C7" s="42"/>
      <c r="D7" s="42"/>
      <c r="E7" s="42"/>
      <c r="F7" s="42"/>
      <c r="G7" s="42"/>
      <c r="H7" s="41"/>
    </row>
    <row r="8" spans="1:8" ht="33.75" customHeight="1">
      <c r="A8" s="40">
        <v>6</v>
      </c>
      <c r="B8" s="42"/>
      <c r="C8" s="42"/>
      <c r="D8" s="42"/>
      <c r="E8" s="42"/>
      <c r="F8" s="42"/>
      <c r="G8" s="42"/>
      <c r="H8" s="41"/>
    </row>
    <row r="9" spans="1:8" ht="33.75" customHeight="1">
      <c r="A9" s="40">
        <v>7</v>
      </c>
      <c r="B9" s="42"/>
      <c r="C9" s="42"/>
      <c r="D9" s="42"/>
      <c r="E9" s="42"/>
      <c r="F9" s="42"/>
      <c r="G9" s="42"/>
      <c r="H9" s="41"/>
    </row>
    <row r="10" spans="1:8" ht="33.75" customHeight="1">
      <c r="A10" s="40">
        <v>8</v>
      </c>
      <c r="B10" s="42"/>
      <c r="C10" s="42"/>
      <c r="D10" s="42"/>
      <c r="E10" s="42"/>
      <c r="F10" s="42"/>
      <c r="G10" s="42"/>
      <c r="H10" s="41"/>
    </row>
    <row r="11" spans="1:8" ht="33.75" customHeight="1">
      <c r="A11" s="40">
        <v>9</v>
      </c>
      <c r="B11" s="42"/>
      <c r="C11" s="42"/>
      <c r="D11" s="42"/>
      <c r="E11" s="42"/>
      <c r="F11" s="42"/>
      <c r="G11" s="42"/>
      <c r="H11" s="41"/>
    </row>
    <row r="12" spans="1:8" ht="33.75" customHeight="1">
      <c r="A12" s="40">
        <v>10</v>
      </c>
      <c r="B12" s="42"/>
      <c r="C12" s="42"/>
      <c r="D12" s="42"/>
      <c r="E12" s="42"/>
      <c r="F12" s="42"/>
      <c r="G12" s="42"/>
      <c r="H12" s="41"/>
    </row>
    <row r="13" spans="1:8" ht="33.75" customHeight="1">
      <c r="A13" s="40">
        <v>11</v>
      </c>
      <c r="B13" s="42"/>
      <c r="C13" s="42"/>
      <c r="D13" s="42"/>
      <c r="E13" s="42"/>
      <c r="F13" s="42"/>
      <c r="G13" s="42"/>
      <c r="H13" s="41"/>
    </row>
    <row r="14" spans="1:8" ht="33.75" customHeight="1">
      <c r="A14" s="40">
        <v>12</v>
      </c>
      <c r="B14" s="42"/>
      <c r="C14" s="42"/>
      <c r="D14" s="42"/>
      <c r="E14" s="42"/>
      <c r="F14" s="42"/>
      <c r="G14" s="42"/>
      <c r="H14" s="41"/>
    </row>
    <row r="15" spans="1:8" ht="33.75" customHeight="1">
      <c r="A15" s="40">
        <v>13</v>
      </c>
      <c r="B15" s="42"/>
      <c r="C15" s="42"/>
      <c r="D15" s="42"/>
      <c r="E15" s="42"/>
      <c r="F15" s="42"/>
      <c r="G15" s="42"/>
      <c r="H15" s="41"/>
    </row>
    <row r="16" spans="1:8" ht="33.75" customHeight="1">
      <c r="A16" s="40">
        <v>14</v>
      </c>
      <c r="B16" s="42"/>
      <c r="C16" s="42"/>
      <c r="D16" s="42"/>
      <c r="E16" s="42"/>
      <c r="F16" s="42"/>
      <c r="G16" s="42"/>
      <c r="H16" s="41"/>
    </row>
    <row r="17" spans="1:8" ht="33.75" customHeight="1">
      <c r="A17" s="40">
        <v>15</v>
      </c>
      <c r="B17" s="42"/>
      <c r="C17" s="42"/>
      <c r="D17" s="42"/>
      <c r="E17" s="42"/>
      <c r="F17" s="42"/>
      <c r="G17" s="42"/>
      <c r="H17" s="41"/>
    </row>
    <row r="18" spans="1:8" ht="33.75" customHeight="1">
      <c r="A18" s="40">
        <v>16</v>
      </c>
      <c r="B18" s="42"/>
      <c r="C18" s="42"/>
      <c r="D18" s="42"/>
      <c r="E18" s="42"/>
      <c r="F18" s="42"/>
      <c r="G18" s="42"/>
      <c r="H18" s="41"/>
    </row>
    <row r="19" spans="1:8" ht="33.75" customHeight="1">
      <c r="A19" s="40">
        <v>17</v>
      </c>
      <c r="B19" s="42"/>
      <c r="C19" s="42"/>
      <c r="D19" s="42"/>
      <c r="E19" s="42"/>
      <c r="F19" s="42"/>
      <c r="G19" s="42"/>
      <c r="H19" s="41"/>
    </row>
    <row r="20" spans="1:8" ht="33.75" customHeight="1">
      <c r="A20" s="40">
        <v>18</v>
      </c>
      <c r="B20" s="42"/>
      <c r="C20" s="42"/>
      <c r="D20" s="42"/>
      <c r="E20" s="42"/>
      <c r="F20" s="42"/>
      <c r="G20" s="42"/>
      <c r="H20" s="41"/>
    </row>
    <row r="21" spans="1:8" ht="33.75" customHeight="1">
      <c r="A21" s="40">
        <v>19</v>
      </c>
      <c r="B21" s="42"/>
      <c r="C21" s="42"/>
      <c r="D21" s="42"/>
      <c r="E21" s="42"/>
      <c r="F21" s="42"/>
      <c r="G21" s="42"/>
      <c r="H21" s="41"/>
    </row>
    <row r="22" spans="1:8" ht="33.75" customHeight="1" thickBot="1">
      <c r="A22" s="40">
        <v>20</v>
      </c>
      <c r="B22" s="39"/>
      <c r="C22" s="39"/>
      <c r="D22" s="39"/>
      <c r="E22" s="39"/>
      <c r="F22" s="39"/>
      <c r="G22" s="39"/>
      <c r="H22" s="38"/>
    </row>
  </sheetData>
  <mergeCells count="1">
    <mergeCell ref="A1:H1"/>
  </mergeCells>
  <phoneticPr fontId="3" type="noConversion"/>
  <pageMargins left="0" right="0" top="0" bottom="0" header="0" footer="0"/>
  <pageSetup paperSize="9" scale="85" fitToWidth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view="pageBreakPreview" zoomScale="60" zoomScaleNormal="100" workbookViewId="0">
      <selection activeCell="D32" sqref="D32"/>
    </sheetView>
  </sheetViews>
  <sheetFormatPr defaultRowHeight="16.5"/>
  <cols>
    <col min="1" max="4" width="9" style="150" customWidth="1"/>
    <col min="5" max="16384" width="9" style="150"/>
  </cols>
  <sheetData>
    <row r="1" spans="1:9">
      <c r="A1" s="189" t="s">
        <v>194</v>
      </c>
      <c r="B1" s="190"/>
      <c r="C1" s="190"/>
      <c r="D1" s="190"/>
      <c r="E1" s="190"/>
      <c r="F1" s="190"/>
      <c r="G1" s="190"/>
      <c r="H1" s="190"/>
      <c r="I1" s="191"/>
    </row>
    <row r="2" spans="1:9">
      <c r="A2" s="187"/>
      <c r="B2" s="184"/>
      <c r="C2" s="184"/>
      <c r="D2" s="184"/>
      <c r="E2" s="184"/>
      <c r="F2" s="184"/>
      <c r="G2" s="184"/>
      <c r="H2" s="184"/>
      <c r="I2" s="186"/>
    </row>
    <row r="3" spans="1:9">
      <c r="A3" s="187"/>
      <c r="B3" s="184"/>
      <c r="C3" s="184"/>
      <c r="D3" s="184"/>
      <c r="E3" s="184"/>
      <c r="F3" s="184"/>
      <c r="G3" s="184"/>
      <c r="H3" s="184"/>
      <c r="I3" s="186"/>
    </row>
    <row r="4" spans="1:9">
      <c r="A4" s="187"/>
      <c r="B4" s="184"/>
      <c r="C4" s="184"/>
      <c r="D4" s="184"/>
      <c r="E4" s="184"/>
      <c r="F4" s="184"/>
      <c r="G4" s="184"/>
      <c r="H4" s="184"/>
      <c r="I4" s="186"/>
    </row>
    <row r="5" spans="1:9">
      <c r="A5" s="187"/>
      <c r="B5" s="184"/>
      <c r="C5" s="184"/>
      <c r="D5" s="184"/>
      <c r="E5" s="184"/>
      <c r="F5" s="184"/>
      <c r="G5" s="184"/>
      <c r="H5" s="184"/>
      <c r="I5" s="186"/>
    </row>
    <row r="6" spans="1:9">
      <c r="A6" s="187"/>
      <c r="B6" s="184"/>
      <c r="C6" s="184"/>
      <c r="D6" s="184"/>
      <c r="E6" s="184"/>
      <c r="F6" s="184"/>
      <c r="G6" s="184"/>
      <c r="H6" s="184"/>
      <c r="I6" s="186"/>
    </row>
    <row r="7" spans="1:9">
      <c r="A7" s="49"/>
      <c r="I7" s="146"/>
    </row>
    <row r="8" spans="1:9">
      <c r="A8" s="49"/>
      <c r="I8" s="146"/>
    </row>
    <row r="9" spans="1:9">
      <c r="A9" s="49"/>
      <c r="I9" s="146"/>
    </row>
    <row r="10" spans="1:9">
      <c r="A10" s="192" t="s">
        <v>195</v>
      </c>
      <c r="B10" s="184"/>
      <c r="C10" s="184"/>
      <c r="D10" s="184"/>
      <c r="E10" s="184"/>
      <c r="F10" s="184"/>
      <c r="G10" s="184"/>
      <c r="H10" s="184"/>
      <c r="I10" s="186"/>
    </row>
    <row r="11" spans="1:9">
      <c r="A11" s="187"/>
      <c r="B11" s="184"/>
      <c r="C11" s="184"/>
      <c r="D11" s="184"/>
      <c r="E11" s="184"/>
      <c r="F11" s="184"/>
      <c r="G11" s="184"/>
      <c r="H11" s="184"/>
      <c r="I11" s="186"/>
    </row>
    <row r="12" spans="1:9">
      <c r="A12" s="187"/>
      <c r="B12" s="184"/>
      <c r="C12" s="184"/>
      <c r="D12" s="184"/>
      <c r="E12" s="184"/>
      <c r="F12" s="184"/>
      <c r="G12" s="184"/>
      <c r="H12" s="184"/>
      <c r="I12" s="186"/>
    </row>
    <row r="13" spans="1:9">
      <c r="A13" s="185" t="s">
        <v>196</v>
      </c>
      <c r="B13" s="184"/>
      <c r="C13" s="184"/>
      <c r="D13" s="184"/>
      <c r="E13" s="184"/>
      <c r="F13" s="184"/>
      <c r="G13" s="184"/>
      <c r="H13" s="184"/>
      <c r="I13" s="186"/>
    </row>
    <row r="14" spans="1:9">
      <c r="A14" s="187"/>
      <c r="B14" s="184"/>
      <c r="C14" s="184"/>
      <c r="D14" s="184"/>
      <c r="E14" s="184"/>
      <c r="F14" s="184"/>
      <c r="G14" s="184"/>
      <c r="H14" s="184"/>
      <c r="I14" s="186"/>
    </row>
    <row r="15" spans="1:9">
      <c r="A15" s="187"/>
      <c r="B15" s="184"/>
      <c r="C15" s="184"/>
      <c r="D15" s="184"/>
      <c r="E15" s="184"/>
      <c r="F15" s="184"/>
      <c r="G15" s="184"/>
      <c r="H15" s="184"/>
      <c r="I15" s="186"/>
    </row>
    <row r="16" spans="1:9">
      <c r="A16" s="188" t="s">
        <v>197</v>
      </c>
      <c r="B16" s="184"/>
      <c r="C16" s="184"/>
      <c r="D16" s="184"/>
      <c r="E16" s="184"/>
      <c r="F16" s="184"/>
      <c r="G16" s="184"/>
      <c r="H16" s="184"/>
      <c r="I16" s="186"/>
    </row>
    <row r="17" spans="1:9">
      <c r="A17" s="187"/>
      <c r="B17" s="184"/>
      <c r="C17" s="184"/>
      <c r="D17" s="184"/>
      <c r="E17" s="184"/>
      <c r="F17" s="184"/>
      <c r="G17" s="184"/>
      <c r="H17" s="184"/>
      <c r="I17" s="186"/>
    </row>
    <row r="18" spans="1:9">
      <c r="A18" s="187"/>
      <c r="B18" s="184"/>
      <c r="C18" s="184"/>
      <c r="D18" s="184"/>
      <c r="E18" s="184"/>
      <c r="F18" s="184"/>
      <c r="G18" s="184"/>
      <c r="H18" s="184"/>
      <c r="I18" s="186"/>
    </row>
    <row r="19" spans="1:9">
      <c r="A19" s="49"/>
      <c r="I19" s="146"/>
    </row>
    <row r="20" spans="1:9">
      <c r="A20" s="49"/>
      <c r="I20" s="146"/>
    </row>
    <row r="21" spans="1:9">
      <c r="A21" s="49"/>
      <c r="I21" s="146"/>
    </row>
    <row r="22" spans="1:9">
      <c r="A22" s="49"/>
      <c r="I22" s="146"/>
    </row>
    <row r="23" spans="1:9">
      <c r="A23" s="49"/>
      <c r="I23" s="146"/>
    </row>
    <row r="24" spans="1:9">
      <c r="A24" s="49"/>
      <c r="I24" s="146"/>
    </row>
    <row r="25" spans="1:9">
      <c r="A25" s="49"/>
      <c r="I25" s="146"/>
    </row>
    <row r="26" spans="1:9">
      <c r="A26" s="49"/>
      <c r="D26" s="183"/>
      <c r="E26" s="184"/>
      <c r="F26" s="184"/>
      <c r="G26" s="184"/>
      <c r="H26" s="184"/>
      <c r="I26" s="146"/>
    </row>
    <row r="27" spans="1:9">
      <c r="A27" s="49"/>
      <c r="D27" s="184"/>
      <c r="E27" s="184"/>
      <c r="F27" s="184"/>
      <c r="G27" s="184"/>
      <c r="H27" s="184"/>
      <c r="I27" s="146"/>
    </row>
    <row r="28" spans="1:9">
      <c r="A28" s="49"/>
      <c r="D28" s="183" t="s">
        <v>198</v>
      </c>
      <c r="E28" s="184"/>
      <c r="F28" s="184"/>
      <c r="G28" s="184"/>
      <c r="H28" s="184"/>
      <c r="I28" s="146"/>
    </row>
    <row r="29" spans="1:9">
      <c r="A29" s="49"/>
      <c r="D29" s="184"/>
      <c r="E29" s="184"/>
      <c r="F29" s="184"/>
      <c r="G29" s="184"/>
      <c r="H29" s="184"/>
      <c r="I29" s="146"/>
    </row>
    <row r="30" spans="1:9">
      <c r="A30" s="49"/>
      <c r="D30" s="183" t="s">
        <v>199</v>
      </c>
      <c r="E30" s="184"/>
      <c r="F30" s="184"/>
      <c r="G30" s="184"/>
      <c r="H30" s="184"/>
      <c r="I30" s="146"/>
    </row>
    <row r="31" spans="1:9">
      <c r="A31" s="49"/>
      <c r="D31" s="184"/>
      <c r="E31" s="184"/>
      <c r="F31" s="184"/>
      <c r="G31" s="184"/>
      <c r="H31" s="184"/>
      <c r="I31" s="146"/>
    </row>
    <row r="32" spans="1:9" ht="25.5" customHeight="1">
      <c r="A32" s="49"/>
      <c r="D32" s="63"/>
      <c r="E32" s="50"/>
      <c r="F32" s="50"/>
      <c r="I32" s="146"/>
    </row>
    <row r="33" spans="1:9">
      <c r="A33" s="49"/>
      <c r="I33" s="146"/>
    </row>
    <row r="34" spans="1:9">
      <c r="A34" s="49"/>
      <c r="I34" s="146"/>
    </row>
    <row r="35" spans="1:9">
      <c r="A35" s="49"/>
      <c r="I35" s="146"/>
    </row>
    <row r="36" spans="1:9">
      <c r="A36" s="49"/>
      <c r="I36" s="146"/>
    </row>
    <row r="37" spans="1:9">
      <c r="A37" s="49"/>
      <c r="I37" s="146"/>
    </row>
    <row r="38" spans="1:9">
      <c r="A38" s="49"/>
      <c r="I38" s="146"/>
    </row>
    <row r="39" spans="1:9">
      <c r="A39" s="49"/>
      <c r="I39" s="146"/>
    </row>
    <row r="40" spans="1:9">
      <c r="A40" s="49"/>
      <c r="I40" s="146"/>
    </row>
    <row r="41" spans="1:9">
      <c r="A41" s="49"/>
      <c r="I41" s="146"/>
    </row>
    <row r="42" spans="1:9">
      <c r="A42" s="49"/>
      <c r="I42" s="146"/>
    </row>
    <row r="43" spans="1:9">
      <c r="A43" s="49"/>
      <c r="I43" s="146"/>
    </row>
    <row r="44" spans="1:9">
      <c r="A44" s="49"/>
      <c r="I44" s="146"/>
    </row>
    <row r="45" spans="1:9">
      <c r="A45" s="49"/>
      <c r="I45" s="146"/>
    </row>
    <row r="46" spans="1:9" ht="17.25" customHeight="1" thickBot="1">
      <c r="A46" s="48"/>
      <c r="B46" s="47"/>
      <c r="C46" s="47"/>
      <c r="D46" s="47"/>
      <c r="E46" s="47"/>
      <c r="F46" s="47"/>
      <c r="G46" s="47"/>
      <c r="H46" s="47"/>
      <c r="I46" s="46"/>
    </row>
  </sheetData>
  <mergeCells count="7">
    <mergeCell ref="D30:H31"/>
    <mergeCell ref="A10:I12"/>
    <mergeCell ref="D26:H27"/>
    <mergeCell ref="A13:I15"/>
    <mergeCell ref="D28:H29"/>
    <mergeCell ref="A16:I18"/>
    <mergeCell ref="A1:I6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  <pageSetUpPr autoPageBreaks="0" fitToPage="1"/>
  </sheetPr>
  <dimension ref="A1:J168"/>
  <sheetViews>
    <sheetView showGridLines="0" view="pageBreakPreview" topLeftCell="A55" zoomScale="60" zoomScaleNormal="100" workbookViewId="0">
      <selection activeCell="Q52" sqref="Q52"/>
    </sheetView>
  </sheetViews>
  <sheetFormatPr defaultColWidth="8.75" defaultRowHeight="15"/>
  <cols>
    <col min="1" max="1" width="2" style="151" customWidth="1"/>
    <col min="2" max="8" width="22" style="151" customWidth="1"/>
    <col min="9" max="9" width="2.5" style="151" customWidth="1"/>
    <col min="10" max="13" width="8.75" style="151" customWidth="1"/>
    <col min="14" max="14" width="6.75" style="151" customWidth="1"/>
    <col min="15" max="18" width="8.75" style="151" customWidth="1"/>
    <col min="19" max="16384" width="8.75" style="151"/>
  </cols>
  <sheetData>
    <row r="1" spans="1:10" ht="54" customHeight="1">
      <c r="A1" s="56"/>
      <c r="B1" s="58">
        <f ca="1">YEAR(TODAY())</f>
        <v>2026</v>
      </c>
      <c r="C1" s="57" t="s">
        <v>200</v>
      </c>
      <c r="D1" s="56"/>
      <c r="E1" s="201"/>
      <c r="F1" s="196"/>
      <c r="G1" s="196"/>
      <c r="H1" s="196"/>
    </row>
    <row r="2" spans="1:10" ht="14.25" customHeight="1">
      <c r="A2" s="59"/>
      <c r="B2" s="54" t="s">
        <v>201</v>
      </c>
      <c r="C2" s="55" t="str">
        <f t="shared" ref="C2:H2" ca="1" si="0">UPPER(TEXT(C3,"aaaa"))</f>
        <v>星期二</v>
      </c>
      <c r="D2" s="54" t="str">
        <f t="shared" ca="1" si="0"/>
        <v>星期三</v>
      </c>
      <c r="E2" s="55" t="str">
        <f t="shared" ca="1" si="0"/>
        <v>星期四</v>
      </c>
      <c r="F2" s="54" t="str">
        <f t="shared" ca="1" si="0"/>
        <v>星期五</v>
      </c>
      <c r="G2" s="55" t="str">
        <f t="shared" ca="1" si="0"/>
        <v>星期六</v>
      </c>
      <c r="H2" s="54" t="str">
        <f t="shared" ca="1" si="0"/>
        <v>星期日</v>
      </c>
    </row>
    <row r="3" spans="1:10" ht="16.5" customHeight="1">
      <c r="B3" s="159">
        <f t="array" aca="1" ref="B3:H3" ca="1">Days+1+DATE(Calendar1Year,Calendar1MonthOption,1)-WEEKDAY(DATE(Calendar1Year,Calendar1MonthOption,1),WeekdayOption)</f>
        <v>46111</v>
      </c>
      <c r="C3" s="159">
        <f ca="1"/>
        <v>46112</v>
      </c>
      <c r="D3" s="159">
        <f ca="1"/>
        <v>46113</v>
      </c>
      <c r="E3" s="159">
        <f ca="1"/>
        <v>46114</v>
      </c>
      <c r="F3" s="159">
        <f ca="1"/>
        <v>46115</v>
      </c>
      <c r="G3" s="159">
        <f ca="1"/>
        <v>46116</v>
      </c>
      <c r="H3" s="160">
        <f ca="1"/>
        <v>46117</v>
      </c>
    </row>
    <row r="4" spans="1:10" ht="56.25" customHeight="1">
      <c r="B4" s="60" t="s">
        <v>202</v>
      </c>
      <c r="C4" s="128" t="s">
        <v>203</v>
      </c>
      <c r="D4" s="131" t="s">
        <v>204</v>
      </c>
      <c r="E4" s="129" t="s">
        <v>205</v>
      </c>
      <c r="F4" s="128" t="s">
        <v>203</v>
      </c>
      <c r="G4" s="60" t="s">
        <v>202</v>
      </c>
      <c r="H4" s="130" t="s">
        <v>205</v>
      </c>
      <c r="I4" s="109"/>
      <c r="J4" s="109"/>
    </row>
    <row r="5" spans="1:10" ht="16.5" customHeight="1">
      <c r="B5" s="159">
        <f t="array" aca="1" ref="B5:H5" ca="1">Days+8+DATE(Calendar1Year,Calendar1MonthOption,1)-WEEKDAY(DATE(Calendar1Year,Calendar1MonthOption,1),WeekdayOption)</f>
        <v>46118</v>
      </c>
      <c r="C5" s="159">
        <f ca="1"/>
        <v>46119</v>
      </c>
      <c r="D5" s="159">
        <f ca="1"/>
        <v>46120</v>
      </c>
      <c r="E5" s="159">
        <f ca="1"/>
        <v>46121</v>
      </c>
      <c r="F5" s="159">
        <f ca="1"/>
        <v>46122</v>
      </c>
      <c r="G5" s="159">
        <f ca="1"/>
        <v>46123</v>
      </c>
      <c r="H5" s="160">
        <f ca="1"/>
        <v>46124</v>
      </c>
    </row>
    <row r="6" spans="1:10" ht="56.25" customHeight="1">
      <c r="B6" s="131" t="s">
        <v>204</v>
      </c>
      <c r="C6" s="131" t="s">
        <v>204</v>
      </c>
      <c r="D6" s="129" t="s">
        <v>205</v>
      </c>
      <c r="E6" s="128" t="s">
        <v>203</v>
      </c>
      <c r="F6" s="60" t="s">
        <v>202</v>
      </c>
      <c r="G6" s="60" t="s">
        <v>202</v>
      </c>
      <c r="H6" s="129" t="s">
        <v>205</v>
      </c>
      <c r="I6" s="109"/>
      <c r="J6" s="109"/>
    </row>
    <row r="7" spans="1:10" ht="16.5" customHeight="1">
      <c r="B7" s="159">
        <f t="array" aca="1" ref="B7:H7" ca="1">Days+15+DATE(Calendar1Year,Calendar1MonthOption,1)-WEEKDAY(DATE(Calendar1Year,Calendar1MonthOption,1),WeekdayOption)</f>
        <v>46125</v>
      </c>
      <c r="C7" s="159">
        <f ca="1"/>
        <v>46126</v>
      </c>
      <c r="D7" s="159">
        <f ca="1"/>
        <v>46127</v>
      </c>
      <c r="E7" s="159">
        <f ca="1"/>
        <v>46128</v>
      </c>
      <c r="F7" s="159">
        <f ca="1"/>
        <v>46129</v>
      </c>
      <c r="G7" s="159">
        <f ca="1"/>
        <v>46130</v>
      </c>
      <c r="H7" s="160">
        <f ca="1"/>
        <v>46131</v>
      </c>
    </row>
    <row r="8" spans="1:10" ht="56.25" customHeight="1">
      <c r="B8" s="129" t="s">
        <v>205</v>
      </c>
      <c r="C8" s="128" t="s">
        <v>203</v>
      </c>
      <c r="D8" s="131" t="s">
        <v>204</v>
      </c>
      <c r="E8" s="60" t="s">
        <v>202</v>
      </c>
      <c r="F8" s="131" t="s">
        <v>204</v>
      </c>
      <c r="G8" s="129" t="s">
        <v>205</v>
      </c>
      <c r="H8" s="95" t="s">
        <v>202</v>
      </c>
    </row>
    <row r="9" spans="1:10" ht="16.5" customHeight="1">
      <c r="B9" s="159">
        <f t="array" aca="1" ref="B9:H9" ca="1">Days+22+DATE(Calendar1Year,Calendar1MonthOption,1)-WEEKDAY(DATE(Calendar1Year,Calendar1MonthOption,1),WeekdayOption)</f>
        <v>46132</v>
      </c>
      <c r="C9" s="159">
        <f ca="1"/>
        <v>46133</v>
      </c>
      <c r="D9" s="159">
        <f ca="1"/>
        <v>46134</v>
      </c>
      <c r="E9" s="159">
        <f ca="1"/>
        <v>46135</v>
      </c>
      <c r="F9" s="159">
        <f ca="1"/>
        <v>46136</v>
      </c>
      <c r="G9" s="159">
        <f ca="1"/>
        <v>46137</v>
      </c>
      <c r="H9" s="160">
        <f ca="1"/>
        <v>46138</v>
      </c>
    </row>
    <row r="10" spans="1:10" ht="56.25" customHeight="1">
      <c r="B10" s="128" t="s">
        <v>203</v>
      </c>
      <c r="C10" s="131" t="s">
        <v>204</v>
      </c>
      <c r="D10" s="129" t="s">
        <v>205</v>
      </c>
      <c r="E10" s="128" t="s">
        <v>203</v>
      </c>
      <c r="F10" s="60" t="s">
        <v>202</v>
      </c>
      <c r="G10" s="60" t="s">
        <v>202</v>
      </c>
      <c r="H10" s="127" t="s">
        <v>203</v>
      </c>
    </row>
    <row r="11" spans="1:10" ht="16.5" customHeight="1">
      <c r="B11" s="159">
        <f t="array" aca="1" ref="B11:H11" ca="1">Days+29+DATE(Calendar1Year,Calendar1MonthOption,1)-WEEKDAY(DATE(Calendar1Year,Calendar1MonthOption,1),WeekdayOption)</f>
        <v>46139</v>
      </c>
      <c r="C11" s="159">
        <f ca="1"/>
        <v>46140</v>
      </c>
      <c r="D11" s="159">
        <f ca="1"/>
        <v>46141</v>
      </c>
      <c r="E11" s="159">
        <f ca="1"/>
        <v>46142</v>
      </c>
      <c r="F11" s="159">
        <f ca="1"/>
        <v>46143</v>
      </c>
      <c r="G11" s="159">
        <f ca="1"/>
        <v>46144</v>
      </c>
      <c r="H11" s="160">
        <f ca="1"/>
        <v>46145</v>
      </c>
    </row>
    <row r="12" spans="1:10" ht="57" customHeight="1">
      <c r="B12" s="129" t="s">
        <v>205</v>
      </c>
      <c r="C12" s="131" t="s">
        <v>204</v>
      </c>
      <c r="D12" s="60"/>
      <c r="E12" s="51"/>
      <c r="F12" s="51"/>
      <c r="G12" s="51"/>
      <c r="H12" s="53"/>
    </row>
    <row r="13" spans="1:10" ht="16.5" customHeight="1">
      <c r="B13" s="159">
        <f t="array" aca="1" ref="B13:C13" ca="1">Days+36+DATE(Calendar1Year,Calendar1MonthOption,1)-WEEKDAY(DATE(Calendar1Year,Calendar1MonthOption,1),WeekdayOption)</f>
        <v>46146</v>
      </c>
      <c r="C13" s="159">
        <f ca="1"/>
        <v>46147</v>
      </c>
      <c r="D13" s="195" t="s">
        <v>206</v>
      </c>
      <c r="E13" s="194"/>
      <c r="F13" s="194"/>
      <c r="G13" s="194"/>
      <c r="H13" s="194"/>
    </row>
    <row r="14" spans="1:10" ht="63.75" customHeight="1">
      <c r="B14" s="51"/>
      <c r="C14" s="51"/>
      <c r="D14" s="196"/>
      <c r="E14" s="196"/>
      <c r="F14" s="196"/>
      <c r="G14" s="196"/>
      <c r="H14" s="196"/>
    </row>
    <row r="15" spans="1:10" ht="54" customHeight="1">
      <c r="A15" s="56"/>
      <c r="B15" s="58">
        <f ca="1">YEAR(DATE(Calendar1Year,Calendar1MonthOption+1,1))</f>
        <v>2026</v>
      </c>
      <c r="C15" s="57" t="str">
        <f ca="1">TEXT(DATE(Calendar1Year,Calendar1MonthOption+1,1),"[DBNum1]m月;@")</f>
        <v>五月</v>
      </c>
      <c r="D15" s="56"/>
      <c r="E15" s="56"/>
      <c r="F15" s="56"/>
      <c r="G15" s="56"/>
      <c r="H15" s="56"/>
    </row>
    <row r="16" spans="1:10" ht="14.25" customHeight="1">
      <c r="A16" s="59"/>
      <c r="B16" s="54" t="str">
        <f t="shared" ref="B16:H16" ca="1" si="1">UPPER(TEXT(B17,"aaaa"))</f>
        <v>星期一</v>
      </c>
      <c r="C16" s="55" t="str">
        <f t="shared" ca="1" si="1"/>
        <v>星期二</v>
      </c>
      <c r="D16" s="54" t="str">
        <f t="shared" ca="1" si="1"/>
        <v>星期三</v>
      </c>
      <c r="E16" s="55" t="str">
        <f t="shared" ca="1" si="1"/>
        <v>星期四</v>
      </c>
      <c r="F16" s="54" t="str">
        <f t="shared" ca="1" si="1"/>
        <v>星期五</v>
      </c>
      <c r="G16" s="55" t="str">
        <f t="shared" ca="1" si="1"/>
        <v>星期六</v>
      </c>
      <c r="H16" s="54" t="str">
        <f t="shared" ca="1" si="1"/>
        <v>星期日</v>
      </c>
    </row>
    <row r="17" spans="1:8" ht="16.5" customHeight="1">
      <c r="B17" s="159">
        <f t="array" aca="1" ref="B17:H17" ca="1">Days+1+DATE(Calendar2Year,Calendar2MonthOption,1)-WEEKDAY(DATE(Calendar2Year,Calendar2MonthOption,1),WeekdayOption)</f>
        <v>46139</v>
      </c>
      <c r="C17" s="159">
        <f ca="1"/>
        <v>46140</v>
      </c>
      <c r="D17" s="159">
        <f ca="1"/>
        <v>46141</v>
      </c>
      <c r="E17" s="159">
        <f ca="1"/>
        <v>46142</v>
      </c>
      <c r="F17" s="159">
        <f ca="1"/>
        <v>46143</v>
      </c>
      <c r="G17" s="159">
        <f ca="1"/>
        <v>46144</v>
      </c>
      <c r="H17" s="160">
        <f ca="1"/>
        <v>46145</v>
      </c>
    </row>
    <row r="18" spans="1:8" ht="75.75" customHeight="1">
      <c r="B18" s="128"/>
      <c r="C18" s="128"/>
      <c r="D18" s="128" t="s">
        <v>203</v>
      </c>
      <c r="E18" s="128" t="s">
        <v>202</v>
      </c>
      <c r="F18" s="128" t="s">
        <v>205</v>
      </c>
      <c r="G18" s="128"/>
      <c r="H18" s="127" t="s">
        <v>202</v>
      </c>
    </row>
    <row r="19" spans="1:8" ht="16.5" customHeight="1">
      <c r="B19" s="161">
        <f t="array" aca="1" ref="B19:H19" ca="1">Days+8+DATE(Calendar2Year,Calendar2MonthOption,1)-WEEKDAY(DATE(Calendar2Year,Calendar2MonthOption,1),WeekdayOption)</f>
        <v>46146</v>
      </c>
      <c r="C19" s="161">
        <f ca="1"/>
        <v>46147</v>
      </c>
      <c r="D19" s="161">
        <f ca="1"/>
        <v>46148</v>
      </c>
      <c r="E19" s="161">
        <f ca="1"/>
        <v>46149</v>
      </c>
      <c r="F19" s="161">
        <f ca="1"/>
        <v>46150</v>
      </c>
      <c r="G19" s="161">
        <f ca="1"/>
        <v>46151</v>
      </c>
      <c r="H19" s="162">
        <f ca="1"/>
        <v>46152</v>
      </c>
    </row>
    <row r="20" spans="1:8" ht="75.75" customHeight="1">
      <c r="B20" s="128" t="s">
        <v>203</v>
      </c>
      <c r="C20" s="128"/>
      <c r="D20" s="128" t="s">
        <v>205</v>
      </c>
      <c r="E20" s="128" t="s">
        <v>207</v>
      </c>
      <c r="F20" s="128" t="s">
        <v>202</v>
      </c>
      <c r="G20" s="128" t="s">
        <v>203</v>
      </c>
      <c r="H20" s="128" t="s">
        <v>205</v>
      </c>
    </row>
    <row r="21" spans="1:8" ht="16.5" customHeight="1">
      <c r="B21" s="161">
        <f t="array" aca="1" ref="B21:H21" ca="1">Days+15+DATE(Calendar2Year,Calendar2MonthOption,1)-WEEKDAY(DATE(Calendar2Year,Calendar2MonthOption,1),WeekdayOption)</f>
        <v>46153</v>
      </c>
      <c r="C21" s="161">
        <f ca="1"/>
        <v>46154</v>
      </c>
      <c r="D21" s="161">
        <f ca="1"/>
        <v>46155</v>
      </c>
      <c r="E21" s="161">
        <f ca="1"/>
        <v>46156</v>
      </c>
      <c r="F21" s="161">
        <f ca="1"/>
        <v>46157</v>
      </c>
      <c r="G21" s="161">
        <f ca="1"/>
        <v>46158</v>
      </c>
      <c r="H21" s="162">
        <f ca="1"/>
        <v>46159</v>
      </c>
    </row>
    <row r="22" spans="1:8" ht="75.75" customHeight="1">
      <c r="B22" s="128" t="s">
        <v>202</v>
      </c>
      <c r="C22" s="128" t="s">
        <v>207</v>
      </c>
      <c r="D22" s="128" t="s">
        <v>203</v>
      </c>
      <c r="E22" s="128" t="s">
        <v>205</v>
      </c>
      <c r="F22" s="128" t="s">
        <v>202</v>
      </c>
      <c r="G22" s="128" t="s">
        <v>202</v>
      </c>
      <c r="H22" s="128" t="s">
        <v>205</v>
      </c>
    </row>
    <row r="23" spans="1:8" ht="16.5" customHeight="1">
      <c r="B23" s="161">
        <f t="array" aca="1" ref="B23:H23" ca="1">Days+22+DATE(Calendar2Year,Calendar2MonthOption,1)-WEEKDAY(DATE(Calendar2Year,Calendar2MonthOption,1),WeekdayOption)</f>
        <v>46160</v>
      </c>
      <c r="C23" s="161">
        <f ca="1"/>
        <v>46161</v>
      </c>
      <c r="D23" s="161">
        <f ca="1"/>
        <v>46162</v>
      </c>
      <c r="E23" s="161">
        <f ca="1"/>
        <v>46163</v>
      </c>
      <c r="F23" s="161">
        <f ca="1"/>
        <v>46164</v>
      </c>
      <c r="G23" s="161">
        <f ca="1"/>
        <v>46165</v>
      </c>
      <c r="H23" s="162">
        <f ca="1"/>
        <v>46166</v>
      </c>
    </row>
    <row r="24" spans="1:8" ht="75.75" customHeight="1">
      <c r="B24" s="128" t="s">
        <v>203</v>
      </c>
      <c r="C24" s="128" t="s">
        <v>207</v>
      </c>
      <c r="D24" s="128" t="s">
        <v>207</v>
      </c>
      <c r="E24" s="128" t="s">
        <v>205</v>
      </c>
      <c r="F24" s="128" t="s">
        <v>202</v>
      </c>
      <c r="G24" s="141" t="s">
        <v>208</v>
      </c>
      <c r="H24" s="128" t="s">
        <v>207</v>
      </c>
    </row>
    <row r="25" spans="1:8" ht="16.5" customHeight="1">
      <c r="B25" s="161">
        <f t="array" aca="1" ref="B25:H25" ca="1">Days+29+DATE(Calendar2Year,Calendar2MonthOption,1)-WEEKDAY(DATE(Calendar2Year,Calendar2MonthOption,1),WeekdayOption)</f>
        <v>46167</v>
      </c>
      <c r="C25" s="161">
        <f ca="1"/>
        <v>46168</v>
      </c>
      <c r="D25" s="161">
        <f ca="1"/>
        <v>46169</v>
      </c>
      <c r="E25" s="161">
        <f ca="1"/>
        <v>46170</v>
      </c>
      <c r="F25" s="161">
        <f ca="1"/>
        <v>46171</v>
      </c>
      <c r="G25" s="161">
        <f ca="1"/>
        <v>46172</v>
      </c>
      <c r="H25" s="162">
        <f ca="1"/>
        <v>46173</v>
      </c>
    </row>
    <row r="26" spans="1:8" ht="75.75" customHeight="1">
      <c r="B26" s="128" t="s">
        <v>205</v>
      </c>
      <c r="C26" s="128" t="s">
        <v>205</v>
      </c>
      <c r="D26" s="128" t="s">
        <v>202</v>
      </c>
      <c r="E26" s="128" t="s">
        <v>203</v>
      </c>
      <c r="F26" s="128" t="s">
        <v>207</v>
      </c>
      <c r="G26" s="128"/>
      <c r="H26" s="128"/>
    </row>
    <row r="27" spans="1:8" ht="82.5" hidden="1" customHeight="1">
      <c r="B27" s="159">
        <f t="array" aca="1" ref="B27:C27" ca="1">Days+36+DATE(Calendar2Year,Calendar2MonthOption,1)-WEEKDAY(DATE(Calendar2Year,Calendar2MonthOption,1),WeekdayOption)</f>
        <v>46174</v>
      </c>
      <c r="C27" s="159">
        <f ca="1"/>
        <v>46175</v>
      </c>
      <c r="D27" s="193" t="s">
        <v>209</v>
      </c>
      <c r="E27" s="194"/>
      <c r="F27" s="194"/>
      <c r="G27" s="194"/>
      <c r="H27" s="194"/>
    </row>
    <row r="28" spans="1:8" ht="63.75" customHeight="1">
      <c r="B28" s="51"/>
      <c r="C28" s="51"/>
      <c r="D28" s="200" t="s">
        <v>206</v>
      </c>
      <c r="E28" s="196"/>
      <c r="F28" s="196"/>
      <c r="G28" s="196"/>
      <c r="H28" s="196"/>
    </row>
    <row r="29" spans="1:8" ht="54" customHeight="1">
      <c r="A29" s="56"/>
      <c r="B29" s="58">
        <f ca="1">YEAR(DATE(Calendar2Year,Calendar2MonthOption+1,1))</f>
        <v>2026</v>
      </c>
      <c r="C29" s="57" t="str">
        <f ca="1">TEXT(DATE(Calendar2Year,Calendar2MonthOption+1,1),"[DBNum1]m月;@")</f>
        <v>六月</v>
      </c>
      <c r="D29" s="56"/>
      <c r="E29" s="56"/>
      <c r="F29" s="56"/>
      <c r="G29" s="56"/>
      <c r="H29" s="56"/>
    </row>
    <row r="30" spans="1:8" ht="14.25" customHeight="1">
      <c r="A30" s="59"/>
      <c r="B30" s="54" t="str">
        <f t="shared" ref="B30:H30" ca="1" si="2">UPPER(TEXT(B31,"aaaa"))</f>
        <v>星期一</v>
      </c>
      <c r="C30" s="55" t="str">
        <f t="shared" ca="1" si="2"/>
        <v>星期二</v>
      </c>
      <c r="D30" s="54" t="str">
        <f t="shared" ca="1" si="2"/>
        <v>星期三</v>
      </c>
      <c r="E30" s="55" t="str">
        <f t="shared" ca="1" si="2"/>
        <v>星期四</v>
      </c>
      <c r="F30" s="54" t="str">
        <f t="shared" ca="1" si="2"/>
        <v>星期五</v>
      </c>
      <c r="G30" s="55" t="str">
        <f t="shared" ca="1" si="2"/>
        <v>星期六</v>
      </c>
      <c r="H30" s="54" t="str">
        <f t="shared" ca="1" si="2"/>
        <v>星期日</v>
      </c>
    </row>
    <row r="31" spans="1:8" ht="16.5" customHeight="1">
      <c r="B31" s="159">
        <f t="array" aca="1" ref="B31:H31" ca="1">Days+1+DATE(Calendar3Year,Calendar3MonthOption,1)-WEEKDAY(DATE(Calendar3Year,Calendar3MonthOption,1),WeekdayOption)</f>
        <v>46174</v>
      </c>
      <c r="C31" s="159">
        <f ca="1"/>
        <v>46175</v>
      </c>
      <c r="D31" s="159">
        <f ca="1"/>
        <v>46176</v>
      </c>
      <c r="E31" s="159">
        <f ca="1"/>
        <v>46177</v>
      </c>
      <c r="F31" s="159">
        <f ca="1"/>
        <v>46178</v>
      </c>
      <c r="G31" s="159">
        <f ca="1"/>
        <v>46179</v>
      </c>
      <c r="H31" s="160">
        <f ca="1"/>
        <v>46180</v>
      </c>
    </row>
    <row r="32" spans="1:8" ht="56.25" customHeight="1">
      <c r="B32" s="60"/>
      <c r="C32" s="60"/>
      <c r="D32" s="60"/>
      <c r="E32" s="60"/>
      <c r="F32" s="60"/>
      <c r="G32" s="60" t="s">
        <v>205</v>
      </c>
      <c r="H32" s="95" t="s">
        <v>203</v>
      </c>
    </row>
    <row r="33" spans="1:8" ht="16.5" customHeight="1">
      <c r="B33" s="163">
        <f t="array" aca="1" ref="B33:H33" ca="1">Days+8+DATE(Calendar3Year,Calendar3MonthOption,1)-WEEKDAY(DATE(Calendar3Year,Calendar3MonthOption,1),WeekdayOption)</f>
        <v>46181</v>
      </c>
      <c r="C33" s="163">
        <f ca="1"/>
        <v>46182</v>
      </c>
      <c r="D33" s="163">
        <f ca="1"/>
        <v>46183</v>
      </c>
      <c r="E33" s="163">
        <f ca="1"/>
        <v>46184</v>
      </c>
      <c r="F33" s="163">
        <f ca="1"/>
        <v>46185</v>
      </c>
      <c r="G33" s="163">
        <f ca="1"/>
        <v>46186</v>
      </c>
      <c r="H33" s="164">
        <f ca="1"/>
        <v>46187</v>
      </c>
    </row>
    <row r="34" spans="1:8" ht="56.25" customHeight="1">
      <c r="B34" s="60" t="s">
        <v>202</v>
      </c>
      <c r="C34" s="60"/>
      <c r="D34" s="60"/>
      <c r="E34" s="60" t="s">
        <v>205</v>
      </c>
      <c r="F34" s="60" t="s">
        <v>203</v>
      </c>
      <c r="G34" s="60" t="s">
        <v>202</v>
      </c>
      <c r="H34" s="95" t="s">
        <v>202</v>
      </c>
    </row>
    <row r="35" spans="1:8" ht="16.5" customHeight="1">
      <c r="B35" s="163">
        <f t="array" aca="1" ref="B35:H35" ca="1">Days+15+DATE(Calendar3Year,Calendar3MonthOption,1)-WEEKDAY(DATE(Calendar3Year,Calendar3MonthOption,1),WeekdayOption)</f>
        <v>46188</v>
      </c>
      <c r="C35" s="163">
        <f ca="1"/>
        <v>46189</v>
      </c>
      <c r="D35" s="163">
        <f ca="1"/>
        <v>46190</v>
      </c>
      <c r="E35" s="163">
        <f ca="1"/>
        <v>46191</v>
      </c>
      <c r="F35" s="163">
        <f ca="1"/>
        <v>46192</v>
      </c>
      <c r="G35" s="163">
        <f ca="1"/>
        <v>46193</v>
      </c>
      <c r="H35" s="164">
        <f ca="1"/>
        <v>46194</v>
      </c>
    </row>
    <row r="36" spans="1:8" ht="56.25" customHeight="1">
      <c r="B36" s="60" t="s">
        <v>203</v>
      </c>
      <c r="C36" s="60" t="s">
        <v>205</v>
      </c>
      <c r="D36" s="60"/>
      <c r="E36" s="60" t="s">
        <v>203</v>
      </c>
      <c r="F36" s="60" t="s">
        <v>202</v>
      </c>
      <c r="G36" s="60" t="s">
        <v>202</v>
      </c>
      <c r="H36" s="95" t="s">
        <v>205</v>
      </c>
    </row>
    <row r="37" spans="1:8" ht="16.5" customHeight="1">
      <c r="B37" s="163">
        <f t="array" aca="1" ref="B37:H37" ca="1">Days+22+DATE(Calendar3Year,Calendar3MonthOption,1)-WEEKDAY(DATE(Calendar3Year,Calendar3MonthOption,1),WeekdayOption)</f>
        <v>46195</v>
      </c>
      <c r="C37" s="163">
        <f ca="1"/>
        <v>46196</v>
      </c>
      <c r="D37" s="163">
        <f ca="1"/>
        <v>46197</v>
      </c>
      <c r="E37" s="163">
        <f ca="1"/>
        <v>46198</v>
      </c>
      <c r="F37" s="163">
        <f ca="1"/>
        <v>46199</v>
      </c>
      <c r="G37" s="163">
        <f ca="1"/>
        <v>46200</v>
      </c>
      <c r="H37" s="164">
        <f ca="1"/>
        <v>46201</v>
      </c>
    </row>
    <row r="38" spans="1:8" ht="56.25" customHeight="1">
      <c r="B38" s="60" t="s">
        <v>203</v>
      </c>
      <c r="C38" s="60"/>
      <c r="D38" s="60"/>
      <c r="E38" s="60" t="s">
        <v>205</v>
      </c>
      <c r="F38" s="60" t="s">
        <v>202</v>
      </c>
      <c r="G38" s="60" t="s">
        <v>203</v>
      </c>
      <c r="H38" s="95"/>
    </row>
    <row r="39" spans="1:8" ht="16.5" customHeight="1">
      <c r="B39" s="163">
        <f t="array" aca="1" ref="B39:H39" ca="1">Days+29+DATE(Calendar3Year,Calendar3MonthOption,1)-WEEKDAY(DATE(Calendar3Year,Calendar3MonthOption,1),WeekdayOption)</f>
        <v>46202</v>
      </c>
      <c r="C39" s="163">
        <f ca="1"/>
        <v>46203</v>
      </c>
      <c r="D39" s="163">
        <f ca="1"/>
        <v>46204</v>
      </c>
      <c r="E39" s="163">
        <f ca="1"/>
        <v>46205</v>
      </c>
      <c r="F39" s="163">
        <f ca="1"/>
        <v>46206</v>
      </c>
      <c r="G39" s="163">
        <f ca="1"/>
        <v>46207</v>
      </c>
      <c r="H39" s="164">
        <f ca="1"/>
        <v>46208</v>
      </c>
    </row>
    <row r="40" spans="1:8" ht="57" customHeight="1">
      <c r="B40" s="60" t="s">
        <v>205</v>
      </c>
      <c r="C40" s="60" t="s">
        <v>205</v>
      </c>
      <c r="D40" s="60" t="s">
        <v>202</v>
      </c>
      <c r="E40" s="60" t="s">
        <v>203</v>
      </c>
      <c r="F40" s="60" t="s">
        <v>205</v>
      </c>
      <c r="G40" s="60" t="s">
        <v>202</v>
      </c>
      <c r="H40" s="142"/>
    </row>
    <row r="41" spans="1:8" ht="16.5" customHeight="1">
      <c r="B41" s="159">
        <f t="array" aca="1" ref="B41:C41" ca="1">Days+36+DATE(Calendar3Year,Calendar3MonthOption,1)-WEEKDAY(DATE(Calendar3Year,Calendar3MonthOption,1),WeekdayOption)</f>
        <v>46209</v>
      </c>
      <c r="C41" s="159">
        <f ca="1"/>
        <v>46210</v>
      </c>
      <c r="D41" s="193" t="s">
        <v>209</v>
      </c>
      <c r="E41" s="194"/>
      <c r="F41" s="194"/>
      <c r="G41" s="194"/>
      <c r="H41" s="194"/>
    </row>
    <row r="42" spans="1:8" ht="90" customHeight="1">
      <c r="B42" s="51"/>
      <c r="C42" s="51"/>
      <c r="D42" s="204" t="s">
        <v>206</v>
      </c>
      <c r="E42" s="196"/>
      <c r="F42" s="196"/>
      <c r="G42" s="196"/>
      <c r="H42" s="196"/>
    </row>
    <row r="43" spans="1:8" ht="54" customHeight="1">
      <c r="A43" s="56"/>
      <c r="B43" s="58">
        <f ca="1">YEAR(DATE(Calendar3Year,Calendar3MonthOption+1,1))</f>
        <v>2026</v>
      </c>
      <c r="C43" s="57" t="str">
        <f ca="1">TEXT(DATE(Calendar3Year,Calendar3MonthOption+1,1),"[DBNum1]m月;@")</f>
        <v>七月</v>
      </c>
      <c r="D43" s="56"/>
      <c r="E43" s="56"/>
      <c r="F43" s="56"/>
      <c r="G43" s="56"/>
      <c r="H43" s="56"/>
    </row>
    <row r="44" spans="1:8" ht="14.25" customHeight="1">
      <c r="A44" s="59"/>
      <c r="B44" s="54" t="str">
        <f t="shared" ref="B44:H44" ca="1" si="3">UPPER(TEXT(B45,"aaaa"))</f>
        <v>星期一</v>
      </c>
      <c r="C44" s="55" t="str">
        <f t="shared" ca="1" si="3"/>
        <v>星期二</v>
      </c>
      <c r="D44" s="54" t="str">
        <f t="shared" ca="1" si="3"/>
        <v>星期三</v>
      </c>
      <c r="E44" s="55" t="str">
        <f t="shared" ca="1" si="3"/>
        <v>星期四</v>
      </c>
      <c r="F44" s="54" t="str">
        <f t="shared" ca="1" si="3"/>
        <v>星期五</v>
      </c>
      <c r="G44" s="55" t="str">
        <f t="shared" ca="1" si="3"/>
        <v>星期六</v>
      </c>
      <c r="H44" s="54" t="str">
        <f t="shared" ca="1" si="3"/>
        <v>星期日</v>
      </c>
    </row>
    <row r="45" spans="1:8" ht="16.5" customHeight="1">
      <c r="B45" s="159">
        <f t="array" aca="1" ref="B45:H45" ca="1">Days+1+DATE(Calendar4Year,Calendar4MonthOption,1)-WEEKDAY(DATE(Calendar4Year,Calendar4MonthOption,1),WeekdayOption)</f>
        <v>46202</v>
      </c>
      <c r="C45" s="159">
        <f ca="1"/>
        <v>46203</v>
      </c>
      <c r="D45" s="159">
        <f ca="1"/>
        <v>46204</v>
      </c>
      <c r="E45" s="159">
        <f ca="1"/>
        <v>46205</v>
      </c>
      <c r="F45" s="159">
        <f ca="1"/>
        <v>46206</v>
      </c>
      <c r="G45" s="159">
        <f ca="1"/>
        <v>46207</v>
      </c>
      <c r="H45" s="160">
        <f ca="1"/>
        <v>46208</v>
      </c>
    </row>
    <row r="46" spans="1:8" ht="56.25" customHeight="1">
      <c r="B46" s="60"/>
      <c r="C46" s="60" t="s">
        <v>203</v>
      </c>
      <c r="D46" s="60" t="s">
        <v>205</v>
      </c>
      <c r="E46" s="60"/>
      <c r="F46" s="60" t="s">
        <v>202</v>
      </c>
      <c r="G46" s="60" t="s">
        <v>203</v>
      </c>
      <c r="H46" s="95" t="s">
        <v>210</v>
      </c>
    </row>
    <row r="47" spans="1:8" ht="16.5" customHeight="1">
      <c r="B47" s="159">
        <f t="array" aca="1" ref="B47:H47" ca="1">Days+8+DATE(Calendar4Year,Calendar4MonthOption,1)-WEEKDAY(DATE(Calendar4Year,Calendar4MonthOption,1),WeekdayOption)</f>
        <v>46209</v>
      </c>
      <c r="C47" s="159">
        <f ca="1"/>
        <v>46210</v>
      </c>
      <c r="D47" s="159">
        <f ca="1"/>
        <v>46211</v>
      </c>
      <c r="E47" s="159">
        <f ca="1"/>
        <v>46212</v>
      </c>
      <c r="F47" s="159">
        <f ca="1"/>
        <v>46213</v>
      </c>
      <c r="G47" s="159">
        <f ca="1"/>
        <v>46214</v>
      </c>
      <c r="H47" s="160">
        <f ca="1"/>
        <v>46215</v>
      </c>
    </row>
    <row r="48" spans="1:8" ht="56.25" customHeight="1">
      <c r="B48" s="60" t="s">
        <v>202</v>
      </c>
      <c r="C48" s="60" t="s">
        <v>211</v>
      </c>
      <c r="D48" s="60" t="s">
        <v>205</v>
      </c>
      <c r="E48" s="60" t="s">
        <v>203</v>
      </c>
      <c r="F48" s="60" t="s">
        <v>202</v>
      </c>
      <c r="G48" s="60" t="s">
        <v>202</v>
      </c>
      <c r="H48" s="95" t="s">
        <v>211</v>
      </c>
    </row>
    <row r="49" spans="1:8" ht="16.5" customHeight="1">
      <c r="B49" s="159">
        <f t="array" aca="1" ref="B49:H49" ca="1">Days+15+DATE(Calendar4Year,Calendar4MonthOption,1)-WEEKDAY(DATE(Calendar4Year,Calendar4MonthOption,1),WeekdayOption)</f>
        <v>46216</v>
      </c>
      <c r="C49" s="159">
        <f ca="1"/>
        <v>46217</v>
      </c>
      <c r="D49" s="159">
        <f ca="1"/>
        <v>46218</v>
      </c>
      <c r="E49" s="159">
        <f ca="1"/>
        <v>46219</v>
      </c>
      <c r="F49" s="159">
        <f ca="1"/>
        <v>46220</v>
      </c>
      <c r="G49" s="159">
        <f ca="1"/>
        <v>46221</v>
      </c>
      <c r="H49" s="160">
        <f ca="1"/>
        <v>46222</v>
      </c>
    </row>
    <row r="50" spans="1:8" ht="56.25" customHeight="1">
      <c r="B50" s="60" t="s">
        <v>205</v>
      </c>
      <c r="C50" s="60" t="s">
        <v>203</v>
      </c>
      <c r="D50" s="60" t="s">
        <v>211</v>
      </c>
      <c r="E50" s="60" t="s">
        <v>205</v>
      </c>
      <c r="F50" s="60" t="s">
        <v>202</v>
      </c>
      <c r="G50" s="60" t="s">
        <v>202</v>
      </c>
      <c r="H50" s="95" t="s">
        <v>212</v>
      </c>
    </row>
    <row r="51" spans="1:8" ht="16.5" customHeight="1">
      <c r="B51" s="159">
        <f t="array" aca="1" ref="B51:H51" ca="1">Days+22+DATE(Calendar4Year,Calendar4MonthOption,1)-WEEKDAY(DATE(Calendar4Year,Calendar4MonthOption,1),WeekdayOption)</f>
        <v>46223</v>
      </c>
      <c r="C51" s="159">
        <f ca="1"/>
        <v>46224</v>
      </c>
      <c r="D51" s="159">
        <f ca="1"/>
        <v>46225</v>
      </c>
      <c r="E51" s="159">
        <f ca="1"/>
        <v>46226</v>
      </c>
      <c r="F51" s="159">
        <f ca="1"/>
        <v>46227</v>
      </c>
      <c r="G51" s="159">
        <f ca="1"/>
        <v>46228</v>
      </c>
      <c r="H51" s="160">
        <f ca="1"/>
        <v>46229</v>
      </c>
    </row>
    <row r="52" spans="1:8" ht="56.25" customHeight="1">
      <c r="B52" s="60"/>
      <c r="C52" s="60" t="s">
        <v>205</v>
      </c>
      <c r="D52" s="60" t="s">
        <v>202</v>
      </c>
      <c r="E52" s="60" t="s">
        <v>211</v>
      </c>
      <c r="F52" s="60" t="s">
        <v>203</v>
      </c>
      <c r="G52" s="60" t="s">
        <v>202</v>
      </c>
      <c r="H52" s="95" t="s">
        <v>210</v>
      </c>
    </row>
    <row r="53" spans="1:8" ht="16.5" customHeight="1">
      <c r="B53" s="159">
        <f t="array" aca="1" ref="B53:H53" ca="1">Days+29+DATE(Calendar4Year,Calendar4MonthOption,1)-WEEKDAY(DATE(Calendar4Year,Calendar4MonthOption,1),WeekdayOption)</f>
        <v>46230</v>
      </c>
      <c r="C53" s="159">
        <f ca="1"/>
        <v>46231</v>
      </c>
      <c r="D53" s="159">
        <f ca="1"/>
        <v>46232</v>
      </c>
      <c r="E53" s="159">
        <f ca="1"/>
        <v>46233</v>
      </c>
      <c r="F53" s="159">
        <f ca="1"/>
        <v>46234</v>
      </c>
      <c r="G53" s="159">
        <f ca="1"/>
        <v>46235</v>
      </c>
      <c r="H53" s="160">
        <f ca="1"/>
        <v>46236</v>
      </c>
    </row>
    <row r="54" spans="1:8" ht="57" customHeight="1">
      <c r="B54" s="60" t="s">
        <v>203</v>
      </c>
      <c r="C54" s="60"/>
      <c r="D54" s="60" t="s">
        <v>205</v>
      </c>
      <c r="E54" s="60"/>
      <c r="F54" s="60"/>
      <c r="G54" s="60"/>
      <c r="H54" s="142"/>
    </row>
    <row r="55" spans="1:8" ht="16.5" customHeight="1">
      <c r="B55" s="159">
        <f t="array" aca="1" ref="B55:C55" ca="1">Days+36+DATE(Calendar4Year,Calendar4MonthOption,1)-WEEKDAY(DATE(Calendar4Year,Calendar4MonthOption,1),WeekdayOption)</f>
        <v>46237</v>
      </c>
      <c r="C55" s="159">
        <f ca="1"/>
        <v>46238</v>
      </c>
      <c r="D55" s="193" t="s">
        <v>209</v>
      </c>
      <c r="E55" s="194"/>
      <c r="F55" s="194"/>
      <c r="G55" s="194"/>
      <c r="H55" s="194"/>
    </row>
    <row r="56" spans="1:8" ht="63.75" customHeight="1">
      <c r="B56" s="51"/>
      <c r="C56" s="51"/>
      <c r="D56" s="202" t="s">
        <v>213</v>
      </c>
      <c r="E56" s="196"/>
      <c r="F56" s="196"/>
      <c r="G56" s="196"/>
      <c r="H56" s="196"/>
    </row>
    <row r="57" spans="1:8" ht="54" customHeight="1">
      <c r="A57" s="56"/>
      <c r="B57" s="58">
        <f ca="1">YEAR(DATE(Calendar4Year,Calendar4MonthOption+1,1))</f>
        <v>2026</v>
      </c>
      <c r="C57" s="57" t="str">
        <f ca="1">TEXT(DATE(Calendar4Year,Calendar4MonthOption+1,1),"[DBNum1]m月;@")</f>
        <v>八月</v>
      </c>
      <c r="D57" s="56"/>
      <c r="E57" s="56"/>
      <c r="F57" s="56"/>
      <c r="G57" s="56"/>
      <c r="H57" s="56"/>
    </row>
    <row r="58" spans="1:8" ht="14.25" customHeight="1">
      <c r="A58" s="59"/>
      <c r="B58" s="54" t="str">
        <f t="shared" ref="B58:H58" ca="1" si="4">UPPER(TEXT(B59,"aaaa"))</f>
        <v>星期一</v>
      </c>
      <c r="C58" s="55" t="str">
        <f t="shared" ca="1" si="4"/>
        <v>星期二</v>
      </c>
      <c r="D58" s="54" t="str">
        <f t="shared" ca="1" si="4"/>
        <v>星期三</v>
      </c>
      <c r="E58" s="55" t="str">
        <f t="shared" ca="1" si="4"/>
        <v>星期四</v>
      </c>
      <c r="F58" s="54" t="str">
        <f t="shared" ca="1" si="4"/>
        <v>星期五</v>
      </c>
      <c r="G58" s="55" t="str">
        <f t="shared" ca="1" si="4"/>
        <v>星期六</v>
      </c>
      <c r="H58" s="54" t="str">
        <f t="shared" ca="1" si="4"/>
        <v>星期日</v>
      </c>
    </row>
    <row r="59" spans="1:8" ht="16.5" customHeight="1">
      <c r="B59" s="159">
        <f t="array" aca="1" ref="B59:H59" ca="1">Days+1+DATE(Calendar5Year,Calendar5MonthOption,1)-WEEKDAY(DATE(Calendar5Year,Calendar5MonthOption,1),WeekdayOption)</f>
        <v>46230</v>
      </c>
      <c r="C59" s="159">
        <f ca="1"/>
        <v>46231</v>
      </c>
      <c r="D59" s="159">
        <f ca="1"/>
        <v>46232</v>
      </c>
      <c r="E59" s="159">
        <f ca="1"/>
        <v>46233</v>
      </c>
      <c r="F59" s="159">
        <f ca="1"/>
        <v>46234</v>
      </c>
      <c r="G59" s="159">
        <f ca="1"/>
        <v>46235</v>
      </c>
      <c r="H59" s="160">
        <f ca="1"/>
        <v>46236</v>
      </c>
    </row>
    <row r="60" spans="1:8" ht="56.25" customHeight="1">
      <c r="B60" s="60"/>
      <c r="C60" s="60"/>
      <c r="D60" s="60"/>
      <c r="E60" s="60"/>
      <c r="F60" s="60"/>
      <c r="G60" s="60"/>
      <c r="H60" s="95"/>
    </row>
    <row r="61" spans="1:8" ht="16.5" customHeight="1">
      <c r="B61" s="159">
        <f t="array" aca="1" ref="B61:H61" ca="1">Days+8+DATE(Calendar5Year,Calendar5MonthOption,1)-WEEKDAY(DATE(Calendar5Year,Calendar5MonthOption,1),WeekdayOption)</f>
        <v>46237</v>
      </c>
      <c r="C61" s="159">
        <f ca="1"/>
        <v>46238</v>
      </c>
      <c r="D61" s="159">
        <f ca="1"/>
        <v>46239</v>
      </c>
      <c r="E61" s="159">
        <f ca="1"/>
        <v>46240</v>
      </c>
      <c r="F61" s="159">
        <f ca="1"/>
        <v>46241</v>
      </c>
      <c r="G61" s="159">
        <f ca="1"/>
        <v>46242</v>
      </c>
      <c r="H61" s="160">
        <f ca="1"/>
        <v>46243</v>
      </c>
    </row>
    <row r="62" spans="1:8" ht="56.25" customHeight="1">
      <c r="B62" s="60"/>
      <c r="C62" s="60"/>
      <c r="D62" s="60"/>
      <c r="E62" s="60"/>
      <c r="F62" s="60"/>
      <c r="G62" s="60"/>
      <c r="H62" s="95"/>
    </row>
    <row r="63" spans="1:8" ht="16.5" customHeight="1">
      <c r="B63" s="159">
        <f t="array" aca="1" ref="B63:H63" ca="1">Days+15+DATE(Calendar5Year,Calendar5MonthOption,1)-WEEKDAY(DATE(Calendar5Year,Calendar5MonthOption,1),WeekdayOption)</f>
        <v>46244</v>
      </c>
      <c r="C63" s="159">
        <f ca="1"/>
        <v>46245</v>
      </c>
      <c r="D63" s="159">
        <f ca="1"/>
        <v>46246</v>
      </c>
      <c r="E63" s="159">
        <f ca="1"/>
        <v>46247</v>
      </c>
      <c r="F63" s="159">
        <f ca="1"/>
        <v>46248</v>
      </c>
      <c r="G63" s="159">
        <f ca="1"/>
        <v>46249</v>
      </c>
      <c r="H63" s="160">
        <f ca="1"/>
        <v>46250</v>
      </c>
    </row>
    <row r="64" spans="1:8" ht="56.25" customHeight="1">
      <c r="B64" s="60"/>
      <c r="C64" s="60"/>
      <c r="D64" s="60"/>
      <c r="E64" s="60"/>
      <c r="F64" s="60"/>
      <c r="G64" s="60"/>
      <c r="H64" s="95"/>
    </row>
    <row r="65" spans="1:8" ht="16.5" customHeight="1">
      <c r="B65" s="159">
        <f t="array" aca="1" ref="B65:H65" ca="1">Days+22+DATE(Calendar5Year,Calendar5MonthOption,1)-WEEKDAY(DATE(Calendar5Year,Calendar5MonthOption,1),WeekdayOption)</f>
        <v>46251</v>
      </c>
      <c r="C65" s="159">
        <f ca="1"/>
        <v>46252</v>
      </c>
      <c r="D65" s="159">
        <f ca="1"/>
        <v>46253</v>
      </c>
      <c r="E65" s="159">
        <f ca="1"/>
        <v>46254</v>
      </c>
      <c r="F65" s="159">
        <f ca="1"/>
        <v>46255</v>
      </c>
      <c r="G65" s="159">
        <f ca="1"/>
        <v>46256</v>
      </c>
      <c r="H65" s="160">
        <f ca="1"/>
        <v>46257</v>
      </c>
    </row>
    <row r="66" spans="1:8" ht="56.25" customHeight="1">
      <c r="B66" s="60"/>
      <c r="C66" s="60"/>
      <c r="D66" s="60"/>
      <c r="E66" s="60"/>
      <c r="F66" s="60"/>
      <c r="G66" s="60"/>
      <c r="H66" s="95"/>
    </row>
    <row r="67" spans="1:8" ht="16.5" customHeight="1">
      <c r="B67" s="159">
        <f t="array" aca="1" ref="B67:H67" ca="1">Days+29+DATE(Calendar5Year,Calendar5MonthOption,1)-WEEKDAY(DATE(Calendar5Year,Calendar5MonthOption,1),WeekdayOption)</f>
        <v>46258</v>
      </c>
      <c r="C67" s="159">
        <f ca="1"/>
        <v>46259</v>
      </c>
      <c r="D67" s="159">
        <f ca="1"/>
        <v>46260</v>
      </c>
      <c r="E67" s="159">
        <f ca="1"/>
        <v>46261</v>
      </c>
      <c r="F67" s="159">
        <f ca="1"/>
        <v>46262</v>
      </c>
      <c r="G67" s="159">
        <f ca="1"/>
        <v>46263</v>
      </c>
      <c r="H67" s="160">
        <f ca="1"/>
        <v>46264</v>
      </c>
    </row>
    <row r="68" spans="1:8" ht="57" customHeight="1">
      <c r="B68" s="60"/>
      <c r="C68" s="60"/>
      <c r="D68" s="60"/>
      <c r="E68" s="60"/>
      <c r="F68" s="60"/>
      <c r="G68" s="60"/>
      <c r="H68" s="142"/>
    </row>
    <row r="69" spans="1:8" ht="85.5" customHeight="1">
      <c r="B69" s="159">
        <f t="array" aca="1" ref="B69:C69" ca="1">Days+36+DATE(Calendar5Year,Calendar5MonthOption,1)-WEEKDAY(DATE(Calendar5Year,Calendar5MonthOption,1),WeekdayOption)</f>
        <v>46265</v>
      </c>
      <c r="C69" s="159">
        <f ca="1"/>
        <v>46266</v>
      </c>
      <c r="D69" s="193" t="s">
        <v>214</v>
      </c>
      <c r="E69" s="194"/>
      <c r="F69" s="194"/>
      <c r="G69" s="194"/>
      <c r="H69" s="194"/>
    </row>
    <row r="70" spans="1:8" ht="63.75" customHeight="1">
      <c r="B70" s="51"/>
      <c r="C70" s="51"/>
      <c r="D70" s="197"/>
      <c r="E70" s="196"/>
      <c r="F70" s="196"/>
      <c r="G70" s="196"/>
      <c r="H70" s="196"/>
    </row>
    <row r="71" spans="1:8" ht="54" customHeight="1">
      <c r="A71" s="56"/>
      <c r="B71" s="58">
        <f ca="1">YEAR(DATE(Calendar5Year,Calendar5MonthOption+1,1))</f>
        <v>2026</v>
      </c>
      <c r="C71" s="57" t="str">
        <f ca="1">TEXT(DATE(Calendar5Year,Calendar5MonthOption+1,1),"[DBNum1]m月;@")</f>
        <v>九月</v>
      </c>
      <c r="D71" s="56"/>
      <c r="E71" s="56"/>
      <c r="F71" s="56"/>
      <c r="G71" s="56"/>
      <c r="H71" s="56"/>
    </row>
    <row r="72" spans="1:8" ht="14.25" customHeight="1">
      <c r="A72" s="59"/>
      <c r="B72" s="54" t="str">
        <f t="shared" ref="B72:H72" ca="1" si="5">UPPER(TEXT(B73,"aaaa"))</f>
        <v>星期一</v>
      </c>
      <c r="C72" s="55" t="str">
        <f t="shared" ca="1" si="5"/>
        <v>星期二</v>
      </c>
      <c r="D72" s="54" t="str">
        <f t="shared" ca="1" si="5"/>
        <v>星期三</v>
      </c>
      <c r="E72" s="55" t="str">
        <f t="shared" ca="1" si="5"/>
        <v>星期四</v>
      </c>
      <c r="F72" s="54" t="str">
        <f t="shared" ca="1" si="5"/>
        <v>星期五</v>
      </c>
      <c r="G72" s="55" t="str">
        <f t="shared" ca="1" si="5"/>
        <v>星期六</v>
      </c>
      <c r="H72" s="54" t="str">
        <f t="shared" ca="1" si="5"/>
        <v>星期日</v>
      </c>
    </row>
    <row r="73" spans="1:8" ht="16.5" customHeight="1">
      <c r="B73" s="159">
        <f t="array" aca="1" ref="B73:H73" ca="1">Days+1+DATE(Calendar6Year,Calendar6MonthOption,1)-WEEKDAY(DATE(Calendar6Year,Calendar6MonthOption,1),WeekdayOption)</f>
        <v>46265</v>
      </c>
      <c r="C73" s="159">
        <f ca="1"/>
        <v>46266</v>
      </c>
      <c r="D73" s="159">
        <f ca="1"/>
        <v>46267</v>
      </c>
      <c r="E73" s="159">
        <f ca="1"/>
        <v>46268</v>
      </c>
      <c r="F73" s="159">
        <f ca="1"/>
        <v>46269</v>
      </c>
      <c r="G73" s="159">
        <f ca="1"/>
        <v>46270</v>
      </c>
      <c r="H73" s="160">
        <f ca="1"/>
        <v>46271</v>
      </c>
    </row>
    <row r="74" spans="1:8" ht="56.25" customHeight="1">
      <c r="B74" s="51"/>
      <c r="C74" s="51"/>
      <c r="D74" s="51"/>
      <c r="E74" s="51"/>
      <c r="F74" s="51"/>
      <c r="G74" s="51"/>
      <c r="H74" s="53"/>
    </row>
    <row r="75" spans="1:8" ht="16.5" customHeight="1">
      <c r="B75" s="159">
        <f t="array" aca="1" ref="B75:H75" ca="1">Days+8+DATE(Calendar6Year,Calendar6MonthOption,1)-WEEKDAY(DATE(Calendar6Year,Calendar6MonthOption,1),WeekdayOption)</f>
        <v>46272</v>
      </c>
      <c r="C75" s="159">
        <f ca="1"/>
        <v>46273</v>
      </c>
      <c r="D75" s="159">
        <f ca="1"/>
        <v>46274</v>
      </c>
      <c r="E75" s="159">
        <f ca="1"/>
        <v>46275</v>
      </c>
      <c r="F75" s="159">
        <f ca="1"/>
        <v>46276</v>
      </c>
      <c r="G75" s="159">
        <f ca="1"/>
        <v>46277</v>
      </c>
      <c r="H75" s="160">
        <f ca="1"/>
        <v>46278</v>
      </c>
    </row>
    <row r="76" spans="1:8" ht="56.25" customHeight="1">
      <c r="B76" s="51"/>
      <c r="C76" s="51"/>
      <c r="D76" s="51"/>
      <c r="E76" s="51"/>
      <c r="F76" s="51"/>
      <c r="G76" s="51"/>
      <c r="H76" s="53"/>
    </row>
    <row r="77" spans="1:8" ht="16.5" customHeight="1">
      <c r="B77" s="159">
        <f t="array" aca="1" ref="B77:H77" ca="1">Days+15+DATE(Calendar6Year,Calendar6MonthOption,1)-WEEKDAY(DATE(Calendar6Year,Calendar6MonthOption,1),WeekdayOption)</f>
        <v>46279</v>
      </c>
      <c r="C77" s="159">
        <f ca="1"/>
        <v>46280</v>
      </c>
      <c r="D77" s="159">
        <f ca="1"/>
        <v>46281</v>
      </c>
      <c r="E77" s="159">
        <f ca="1"/>
        <v>46282</v>
      </c>
      <c r="F77" s="159">
        <f ca="1"/>
        <v>46283</v>
      </c>
      <c r="G77" s="159">
        <f ca="1"/>
        <v>46284</v>
      </c>
      <c r="H77" s="160">
        <f ca="1"/>
        <v>46285</v>
      </c>
    </row>
    <row r="78" spans="1:8" ht="56.25" customHeight="1">
      <c r="B78" s="51"/>
      <c r="C78" s="51"/>
      <c r="D78" s="51"/>
      <c r="E78" s="51"/>
      <c r="F78" s="51"/>
      <c r="G78" s="51"/>
      <c r="H78" s="53"/>
    </row>
    <row r="79" spans="1:8" ht="16.5" customHeight="1">
      <c r="B79" s="159">
        <f t="array" aca="1" ref="B79:H79" ca="1">Days+22+DATE(Calendar6Year,Calendar6MonthOption,1)-WEEKDAY(DATE(Calendar6Year,Calendar6MonthOption,1),WeekdayOption)</f>
        <v>46286</v>
      </c>
      <c r="C79" s="159">
        <f ca="1"/>
        <v>46287</v>
      </c>
      <c r="D79" s="159">
        <f ca="1"/>
        <v>46288</v>
      </c>
      <c r="E79" s="159">
        <f ca="1"/>
        <v>46289</v>
      </c>
      <c r="F79" s="159">
        <f ca="1"/>
        <v>46290</v>
      </c>
      <c r="G79" s="159">
        <f ca="1"/>
        <v>46291</v>
      </c>
      <c r="H79" s="160">
        <f ca="1"/>
        <v>46292</v>
      </c>
    </row>
    <row r="80" spans="1:8" ht="56.25" customHeight="1">
      <c r="B80" s="51"/>
      <c r="C80" s="51"/>
      <c r="D80" s="51"/>
      <c r="E80" s="51"/>
      <c r="F80" s="51"/>
      <c r="G80" s="51"/>
      <c r="H80" s="53"/>
    </row>
    <row r="81" spans="1:8" ht="16.5" customHeight="1">
      <c r="B81" s="159">
        <f t="array" aca="1" ref="B81:H81" ca="1">Days+29+DATE(Calendar6Year,Calendar6MonthOption,1)-WEEKDAY(DATE(Calendar6Year,Calendar6MonthOption,1),WeekdayOption)</f>
        <v>46293</v>
      </c>
      <c r="C81" s="159">
        <f ca="1"/>
        <v>46294</v>
      </c>
      <c r="D81" s="159">
        <f ca="1"/>
        <v>46295</v>
      </c>
      <c r="E81" s="159">
        <f ca="1"/>
        <v>46296</v>
      </c>
      <c r="F81" s="159">
        <f ca="1"/>
        <v>46297</v>
      </c>
      <c r="G81" s="159">
        <f ca="1"/>
        <v>46298</v>
      </c>
      <c r="H81" s="160">
        <f ca="1"/>
        <v>46299</v>
      </c>
    </row>
    <row r="82" spans="1:8" ht="57" customHeight="1">
      <c r="B82" s="51"/>
      <c r="C82" s="51"/>
      <c r="D82" s="51"/>
      <c r="E82" s="51"/>
      <c r="F82" s="51"/>
      <c r="G82" s="51"/>
      <c r="H82" s="52"/>
    </row>
    <row r="83" spans="1:8" ht="66.75" customHeight="1">
      <c r="B83" s="159">
        <f t="array" aca="1" ref="B83:C83" ca="1">Days+36+DATE(Calendar6Year,Calendar6MonthOption,1)-WEEKDAY(DATE(Calendar6Year,Calendar6MonthOption,1),WeekdayOption)</f>
        <v>46300</v>
      </c>
      <c r="C83" s="159">
        <f ca="1"/>
        <v>46301</v>
      </c>
      <c r="D83" s="203" t="s">
        <v>215</v>
      </c>
      <c r="E83" s="194"/>
      <c r="F83" s="194"/>
      <c r="G83" s="194"/>
      <c r="H83" s="194"/>
    </row>
    <row r="84" spans="1:8" ht="63.75" customHeight="1">
      <c r="B84" s="51"/>
      <c r="C84" s="51"/>
      <c r="D84" s="197"/>
      <c r="E84" s="196"/>
      <c r="F84" s="196"/>
      <c r="G84" s="196"/>
      <c r="H84" s="196"/>
    </row>
    <row r="85" spans="1:8" ht="54" customHeight="1">
      <c r="A85" s="56"/>
      <c r="B85" s="58">
        <f ca="1">YEAR(DATE(Calendar6Year,Calendar6MonthOption+1,1))</f>
        <v>2026</v>
      </c>
      <c r="C85" s="57" t="str">
        <f ca="1">TEXT(DATE(Calendar6Year,Calendar6MonthOption+1,1),"[DBNum1]m月;@")</f>
        <v>十月</v>
      </c>
      <c r="D85" s="56"/>
      <c r="E85" s="56"/>
      <c r="F85" s="56"/>
      <c r="G85" s="56"/>
      <c r="H85" s="56"/>
    </row>
    <row r="86" spans="1:8" ht="14.25" customHeight="1">
      <c r="A86" s="59"/>
      <c r="B86" s="54" t="str">
        <f t="shared" ref="B86:H86" ca="1" si="6">UPPER(TEXT(B87,"aaaa"))</f>
        <v>星期一</v>
      </c>
      <c r="C86" s="55" t="str">
        <f t="shared" ca="1" si="6"/>
        <v>星期二</v>
      </c>
      <c r="D86" s="54" t="str">
        <f t="shared" ca="1" si="6"/>
        <v>星期三</v>
      </c>
      <c r="E86" s="55" t="str">
        <f t="shared" ca="1" si="6"/>
        <v>星期四</v>
      </c>
      <c r="F86" s="54" t="str">
        <f t="shared" ca="1" si="6"/>
        <v>星期五</v>
      </c>
      <c r="G86" s="55" t="str">
        <f t="shared" ca="1" si="6"/>
        <v>星期六</v>
      </c>
      <c r="H86" s="54" t="str">
        <f t="shared" ca="1" si="6"/>
        <v>星期日</v>
      </c>
    </row>
    <row r="87" spans="1:8" ht="16.5" customHeight="1">
      <c r="B87" s="159">
        <f t="array" aca="1" ref="B87:H87" ca="1">Days+1+DATE(Calendar7Year,Calendar7MonthOption,1)-WEEKDAY(DATE(Calendar7Year,Calendar7MonthOption,1),WeekdayOption)</f>
        <v>46293</v>
      </c>
      <c r="C87" s="159">
        <f ca="1"/>
        <v>46294</v>
      </c>
      <c r="D87" s="159">
        <f ca="1"/>
        <v>46295</v>
      </c>
      <c r="E87" s="159">
        <f ca="1"/>
        <v>46296</v>
      </c>
      <c r="F87" s="159">
        <f ca="1"/>
        <v>46297</v>
      </c>
      <c r="G87" s="159">
        <f ca="1"/>
        <v>46298</v>
      </c>
      <c r="H87" s="160">
        <f ca="1"/>
        <v>46299</v>
      </c>
    </row>
    <row r="88" spans="1:8" ht="56.25" customHeight="1">
      <c r="B88" s="106" t="s">
        <v>205</v>
      </c>
      <c r="C88" s="108" t="s">
        <v>216</v>
      </c>
      <c r="D88" s="105" t="s">
        <v>203</v>
      </c>
      <c r="E88" s="104" t="s">
        <v>202</v>
      </c>
      <c r="F88" s="60" t="s">
        <v>217</v>
      </c>
      <c r="G88" s="105" t="s">
        <v>203</v>
      </c>
      <c r="H88" s="107" t="s">
        <v>216</v>
      </c>
    </row>
    <row r="89" spans="1:8" ht="16.5" customHeight="1">
      <c r="B89" s="159">
        <f t="array" aca="1" ref="B89:H89" ca="1">Days+8+DATE(Calendar7Year,Calendar7MonthOption,1)-WEEKDAY(DATE(Calendar7Year,Calendar7MonthOption,1),WeekdayOption)</f>
        <v>46300</v>
      </c>
      <c r="C89" s="159">
        <f ca="1"/>
        <v>46301</v>
      </c>
      <c r="D89" s="159">
        <f ca="1"/>
        <v>46302</v>
      </c>
      <c r="E89" s="159">
        <f ca="1"/>
        <v>46303</v>
      </c>
      <c r="F89" s="159">
        <f ca="1"/>
        <v>46304</v>
      </c>
      <c r="G89" s="159">
        <f ca="1"/>
        <v>46305</v>
      </c>
      <c r="H89" s="160">
        <f ca="1"/>
        <v>46306</v>
      </c>
    </row>
    <row r="90" spans="1:8" ht="56.25" customHeight="1">
      <c r="B90" s="106" t="s">
        <v>205</v>
      </c>
      <c r="C90" s="104" t="s">
        <v>202</v>
      </c>
      <c r="D90" s="105" t="s">
        <v>203</v>
      </c>
      <c r="E90" s="105" t="s">
        <v>203</v>
      </c>
      <c r="F90" s="60" t="s">
        <v>217</v>
      </c>
      <c r="G90" s="104" t="s">
        <v>202</v>
      </c>
      <c r="H90" s="107" t="s">
        <v>216</v>
      </c>
    </row>
    <row r="91" spans="1:8" ht="16.5" customHeight="1">
      <c r="B91" s="159">
        <f t="array" aca="1" ref="B91:H91" ca="1">Days+15+DATE(Calendar7Year,Calendar7MonthOption,1)-WEEKDAY(DATE(Calendar7Year,Calendar7MonthOption,1),WeekdayOption)</f>
        <v>46307</v>
      </c>
      <c r="C91" s="159">
        <f ca="1"/>
        <v>46308</v>
      </c>
      <c r="D91" s="159">
        <f ca="1"/>
        <v>46309</v>
      </c>
      <c r="E91" s="159">
        <f ca="1"/>
        <v>46310</v>
      </c>
      <c r="F91" s="159">
        <f ca="1"/>
        <v>46311</v>
      </c>
      <c r="G91" s="159">
        <f ca="1"/>
        <v>46312</v>
      </c>
      <c r="H91" s="160">
        <f ca="1"/>
        <v>46313</v>
      </c>
    </row>
    <row r="92" spans="1:8" ht="56.25" customHeight="1">
      <c r="B92" s="108" t="s">
        <v>216</v>
      </c>
      <c r="C92" s="105" t="s">
        <v>203</v>
      </c>
      <c r="D92" s="104" t="s">
        <v>202</v>
      </c>
      <c r="E92" s="106" t="s">
        <v>205</v>
      </c>
      <c r="F92" s="60" t="s">
        <v>204</v>
      </c>
      <c r="G92" s="104" t="s">
        <v>202</v>
      </c>
      <c r="H92" s="95" t="s">
        <v>218</v>
      </c>
    </row>
    <row r="93" spans="1:8" ht="16.5" customHeight="1">
      <c r="B93" s="159">
        <f t="array" aca="1" ref="B93:H93" ca="1">Days+22+DATE(Calendar7Year,Calendar7MonthOption,1)-WEEKDAY(DATE(Calendar7Year,Calendar7MonthOption,1),WeekdayOption)</f>
        <v>46314</v>
      </c>
      <c r="C93" s="159">
        <f ca="1"/>
        <v>46315</v>
      </c>
      <c r="D93" s="159">
        <f ca="1"/>
        <v>46316</v>
      </c>
      <c r="E93" s="159">
        <f ca="1"/>
        <v>46317</v>
      </c>
      <c r="F93" s="159">
        <f ca="1"/>
        <v>46318</v>
      </c>
      <c r="G93" s="159">
        <f ca="1"/>
        <v>46319</v>
      </c>
      <c r="H93" s="160">
        <f ca="1"/>
        <v>46320</v>
      </c>
    </row>
    <row r="94" spans="1:8" ht="56.25" customHeight="1">
      <c r="B94" s="105" t="s">
        <v>203</v>
      </c>
      <c r="C94" s="104" t="s">
        <v>202</v>
      </c>
      <c r="D94" s="104" t="s">
        <v>202</v>
      </c>
      <c r="E94" s="106" t="s">
        <v>205</v>
      </c>
      <c r="F94" s="60" t="s">
        <v>204</v>
      </c>
      <c r="G94" s="105" t="s">
        <v>203</v>
      </c>
      <c r="H94" s="95" t="s">
        <v>218</v>
      </c>
    </row>
    <row r="95" spans="1:8" ht="16.5" customHeight="1">
      <c r="B95" s="159">
        <f t="array" aca="1" ref="B95:H95" ca="1">Days+29+DATE(Calendar7Year,Calendar7MonthOption,1)-WEEKDAY(DATE(Calendar7Year,Calendar7MonthOption,1),WeekdayOption)</f>
        <v>46321</v>
      </c>
      <c r="C95" s="159">
        <f ca="1"/>
        <v>46322</v>
      </c>
      <c r="D95" s="159">
        <f ca="1"/>
        <v>46323</v>
      </c>
      <c r="E95" s="159">
        <f ca="1"/>
        <v>46324</v>
      </c>
      <c r="F95" s="159">
        <f ca="1"/>
        <v>46325</v>
      </c>
      <c r="G95" s="159">
        <f ca="1"/>
        <v>46326</v>
      </c>
      <c r="H95" s="160">
        <f ca="1"/>
        <v>46327</v>
      </c>
    </row>
    <row r="96" spans="1:8" ht="57" customHeight="1">
      <c r="B96" s="104" t="s">
        <v>202</v>
      </c>
      <c r="C96" s="105" t="s">
        <v>203</v>
      </c>
      <c r="D96" s="108" t="s">
        <v>216</v>
      </c>
      <c r="E96" s="51"/>
      <c r="F96" s="51"/>
      <c r="G96" s="51"/>
      <c r="H96" s="52"/>
    </row>
    <row r="97" spans="1:8" ht="16.5" customHeight="1">
      <c r="B97" s="159">
        <f t="array" aca="1" ref="B97:C97" ca="1">Days+36+DATE(Calendar7Year,Calendar7MonthOption,1)-WEEKDAY(DATE(Calendar7Year,Calendar7MonthOption,1),WeekdayOption)</f>
        <v>46328</v>
      </c>
      <c r="C97" s="159">
        <f ca="1"/>
        <v>46329</v>
      </c>
      <c r="D97" s="193"/>
      <c r="E97" s="194"/>
      <c r="F97" s="194"/>
      <c r="G97" s="194"/>
      <c r="H97" s="194"/>
    </row>
    <row r="98" spans="1:8" ht="63.75" customHeight="1">
      <c r="B98" s="51"/>
      <c r="C98" s="51"/>
      <c r="D98" s="198" t="s">
        <v>219</v>
      </c>
      <c r="E98" s="196"/>
      <c r="F98" s="196"/>
      <c r="G98" s="196"/>
      <c r="H98" s="196"/>
    </row>
    <row r="99" spans="1:8" ht="54" customHeight="1">
      <c r="A99" s="56"/>
      <c r="B99" s="58">
        <f ca="1">YEAR(DATE(Calendar7Year,Calendar7MonthOption+1,1))</f>
        <v>2026</v>
      </c>
      <c r="C99" s="57" t="str">
        <f ca="1">TEXT(DATE(Calendar7Year,Calendar7MonthOption+1,1),"[DBNum1]m月;@")</f>
        <v>十一月</v>
      </c>
      <c r="D99" s="56"/>
      <c r="E99" s="56"/>
      <c r="F99" s="56"/>
      <c r="G99" s="56"/>
      <c r="H99" s="56"/>
    </row>
    <row r="100" spans="1:8" ht="14.25" customHeight="1">
      <c r="A100" s="59"/>
      <c r="B100" s="54" t="str">
        <f t="shared" ref="B100:H100" ca="1" si="7">UPPER(TEXT(B101,"aaaa"))</f>
        <v>星期一</v>
      </c>
      <c r="C100" s="55" t="str">
        <f t="shared" ca="1" si="7"/>
        <v>星期二</v>
      </c>
      <c r="D100" s="54" t="str">
        <f t="shared" ca="1" si="7"/>
        <v>星期三</v>
      </c>
      <c r="E100" s="55" t="str">
        <f t="shared" ca="1" si="7"/>
        <v>星期四</v>
      </c>
      <c r="F100" s="54" t="str">
        <f t="shared" ca="1" si="7"/>
        <v>星期五</v>
      </c>
      <c r="G100" s="55" t="str">
        <f t="shared" ca="1" si="7"/>
        <v>星期六</v>
      </c>
      <c r="H100" s="54" t="str">
        <f t="shared" ca="1" si="7"/>
        <v>星期日</v>
      </c>
    </row>
    <row r="101" spans="1:8" ht="16.5" customHeight="1">
      <c r="B101" s="159">
        <f t="array" aca="1" ref="B101:H101" ca="1">Days+1+DATE(Calendar8Year,Calendar8MonthOption,1)-WEEKDAY(DATE(Calendar8Year,Calendar8MonthOption,1),WeekdayOption)</f>
        <v>46321</v>
      </c>
      <c r="C101" s="159">
        <f ca="1"/>
        <v>46322</v>
      </c>
      <c r="D101" s="159">
        <f ca="1"/>
        <v>46323</v>
      </c>
      <c r="E101" s="159">
        <f ca="1"/>
        <v>46324</v>
      </c>
      <c r="F101" s="159">
        <f ca="1"/>
        <v>46325</v>
      </c>
      <c r="G101" s="159">
        <f ca="1"/>
        <v>46326</v>
      </c>
      <c r="H101" s="160">
        <f ca="1"/>
        <v>46327</v>
      </c>
    </row>
    <row r="102" spans="1:8" ht="56.25" customHeight="1">
      <c r="B102" s="51"/>
      <c r="C102" s="51"/>
      <c r="D102" s="51"/>
      <c r="E102" s="51"/>
      <c r="F102" s="51"/>
      <c r="G102" s="51"/>
      <c r="H102" s="53"/>
    </row>
    <row r="103" spans="1:8" ht="16.5" customHeight="1">
      <c r="B103" s="159">
        <f t="array" aca="1" ref="B103:H103" ca="1">Days+8+DATE(Calendar8Year,Calendar8MonthOption,1)-WEEKDAY(DATE(Calendar8Year,Calendar8MonthOption,1),WeekdayOption)</f>
        <v>46328</v>
      </c>
      <c r="C103" s="159">
        <f ca="1"/>
        <v>46329</v>
      </c>
      <c r="D103" s="159">
        <f ca="1"/>
        <v>46330</v>
      </c>
      <c r="E103" s="159">
        <f ca="1"/>
        <v>46331</v>
      </c>
      <c r="F103" s="159">
        <f ca="1"/>
        <v>46332</v>
      </c>
      <c r="G103" s="159">
        <f ca="1"/>
        <v>46333</v>
      </c>
      <c r="H103" s="160">
        <f ca="1"/>
        <v>46334</v>
      </c>
    </row>
    <row r="104" spans="1:8" ht="56.25" customHeight="1">
      <c r="B104" s="51"/>
      <c r="C104" s="51"/>
      <c r="D104" s="51"/>
      <c r="E104" s="51"/>
      <c r="F104" s="51"/>
      <c r="G104" s="51"/>
      <c r="H104" s="53"/>
    </row>
    <row r="105" spans="1:8" ht="16.5" customHeight="1">
      <c r="B105" s="159">
        <f t="array" aca="1" ref="B105:H105" ca="1">Days+15+DATE(Calendar8Year,Calendar8MonthOption,1)-WEEKDAY(DATE(Calendar8Year,Calendar8MonthOption,1),WeekdayOption)</f>
        <v>46335</v>
      </c>
      <c r="C105" s="159">
        <f ca="1"/>
        <v>46336</v>
      </c>
      <c r="D105" s="159">
        <f ca="1"/>
        <v>46337</v>
      </c>
      <c r="E105" s="159">
        <f ca="1"/>
        <v>46338</v>
      </c>
      <c r="F105" s="159">
        <f ca="1"/>
        <v>46339</v>
      </c>
      <c r="G105" s="159">
        <f ca="1"/>
        <v>46340</v>
      </c>
      <c r="H105" s="160">
        <f ca="1"/>
        <v>46341</v>
      </c>
    </row>
    <row r="106" spans="1:8" ht="56.25" customHeight="1">
      <c r="B106" s="51"/>
      <c r="C106" s="51"/>
      <c r="D106" s="51"/>
      <c r="E106" s="51"/>
      <c r="F106" s="51"/>
      <c r="G106" s="51"/>
      <c r="H106" s="53"/>
    </row>
    <row r="107" spans="1:8" ht="16.5" customHeight="1">
      <c r="B107" s="159">
        <f t="array" aca="1" ref="B107:H107" ca="1">Days+22+DATE(Calendar8Year,Calendar8MonthOption,1)-WEEKDAY(DATE(Calendar8Year,Calendar8MonthOption,1),WeekdayOption)</f>
        <v>46342</v>
      </c>
      <c r="C107" s="159">
        <f ca="1"/>
        <v>46343</v>
      </c>
      <c r="D107" s="159">
        <f ca="1"/>
        <v>46344</v>
      </c>
      <c r="E107" s="159">
        <f ca="1"/>
        <v>46345</v>
      </c>
      <c r="F107" s="159">
        <f ca="1"/>
        <v>46346</v>
      </c>
      <c r="G107" s="159">
        <f ca="1"/>
        <v>46347</v>
      </c>
      <c r="H107" s="160">
        <f ca="1"/>
        <v>46348</v>
      </c>
    </row>
    <row r="108" spans="1:8" ht="56.25" customHeight="1">
      <c r="B108" s="51"/>
      <c r="C108" s="51"/>
      <c r="D108" s="51"/>
      <c r="E108" s="51"/>
      <c r="F108" s="51"/>
      <c r="G108" s="51"/>
      <c r="H108" s="53"/>
    </row>
    <row r="109" spans="1:8" ht="16.5" customHeight="1">
      <c r="B109" s="159">
        <f t="array" aca="1" ref="B109:H109" ca="1">Days+29+DATE(Calendar8Year,Calendar8MonthOption,1)-WEEKDAY(DATE(Calendar8Year,Calendar8MonthOption,1),WeekdayOption)</f>
        <v>46349</v>
      </c>
      <c r="C109" s="159">
        <f ca="1"/>
        <v>46350</v>
      </c>
      <c r="D109" s="159">
        <f ca="1"/>
        <v>46351</v>
      </c>
      <c r="E109" s="159">
        <f ca="1"/>
        <v>46352</v>
      </c>
      <c r="F109" s="159">
        <f ca="1"/>
        <v>46353</v>
      </c>
      <c r="G109" s="159">
        <f ca="1"/>
        <v>46354</v>
      </c>
      <c r="H109" s="160">
        <f ca="1"/>
        <v>46355</v>
      </c>
    </row>
    <row r="110" spans="1:8" ht="57" customHeight="1">
      <c r="B110" s="51"/>
      <c r="C110" s="51"/>
      <c r="D110" s="51"/>
      <c r="E110" s="51"/>
      <c r="F110" s="51"/>
      <c r="G110" s="51"/>
      <c r="H110" s="52"/>
    </row>
    <row r="111" spans="1:8" ht="16.5" customHeight="1">
      <c r="B111" s="159">
        <f t="array" aca="1" ref="B111:C111" ca="1">Days+36+DATE(Calendar8Year,Calendar8MonthOption,1)-WEEKDAY(DATE(Calendar8Year,Calendar8MonthOption,1),WeekdayOption)</f>
        <v>46356</v>
      </c>
      <c r="C111" s="159">
        <f ca="1"/>
        <v>46357</v>
      </c>
      <c r="D111" s="193"/>
      <c r="E111" s="194"/>
      <c r="F111" s="194"/>
      <c r="G111" s="194"/>
      <c r="H111" s="194"/>
    </row>
    <row r="112" spans="1:8" ht="63.75" customHeight="1">
      <c r="B112" s="51"/>
      <c r="C112" s="51"/>
      <c r="D112" s="199" t="s">
        <v>220</v>
      </c>
      <c r="E112" s="196"/>
      <c r="F112" s="196"/>
      <c r="G112" s="196"/>
      <c r="H112" s="196"/>
    </row>
    <row r="113" spans="1:8" ht="54" customHeight="1">
      <c r="A113" s="56"/>
      <c r="B113" s="58">
        <f ca="1">YEAR(DATE(Calendar8Year,Calendar8MonthOption+1,1))</f>
        <v>2026</v>
      </c>
      <c r="C113" s="57" t="str">
        <f ca="1">TEXT(DATE(Calendar8Year,Calendar8MonthOption+1,1),"[DBNum1]m月;@")</f>
        <v>十二月</v>
      </c>
      <c r="D113" s="56"/>
      <c r="E113" s="56"/>
      <c r="F113" s="56"/>
      <c r="G113" s="56"/>
      <c r="H113" s="56"/>
    </row>
    <row r="114" spans="1:8" ht="14.25" customHeight="1">
      <c r="A114" s="59"/>
      <c r="B114" s="54" t="str">
        <f t="shared" ref="B114:H114" ca="1" si="8">UPPER(TEXT(B115,"aaaa"))</f>
        <v>星期一</v>
      </c>
      <c r="C114" s="55" t="str">
        <f t="shared" ca="1" si="8"/>
        <v>星期二</v>
      </c>
      <c r="D114" s="54" t="str">
        <f t="shared" ca="1" si="8"/>
        <v>星期三</v>
      </c>
      <c r="E114" s="55" t="str">
        <f t="shared" ca="1" si="8"/>
        <v>星期四</v>
      </c>
      <c r="F114" s="54" t="str">
        <f t="shared" ca="1" si="8"/>
        <v>星期五</v>
      </c>
      <c r="G114" s="55" t="str">
        <f t="shared" ca="1" si="8"/>
        <v>星期六</v>
      </c>
      <c r="H114" s="54" t="str">
        <f t="shared" ca="1" si="8"/>
        <v>星期日</v>
      </c>
    </row>
    <row r="115" spans="1:8" ht="16.5" customHeight="1">
      <c r="B115" s="159">
        <f t="array" aca="1" ref="B115:H115" ca="1">Days+1+DATE(Calendar9Year,Calendar9MonthOption,1)-WEEKDAY(DATE(Calendar9Year,Calendar9MonthOption,1),WeekdayOption)</f>
        <v>46356</v>
      </c>
      <c r="C115" s="159">
        <f ca="1"/>
        <v>46357</v>
      </c>
      <c r="D115" s="159">
        <f ca="1"/>
        <v>46358</v>
      </c>
      <c r="E115" s="159">
        <f ca="1"/>
        <v>46359</v>
      </c>
      <c r="F115" s="159">
        <f ca="1"/>
        <v>46360</v>
      </c>
      <c r="G115" s="159">
        <f ca="1"/>
        <v>46361</v>
      </c>
      <c r="H115" s="160">
        <f ca="1"/>
        <v>46362</v>
      </c>
    </row>
    <row r="116" spans="1:8" ht="56.25" customHeight="1">
      <c r="B116" s="51"/>
      <c r="C116" s="51"/>
      <c r="D116" s="51"/>
      <c r="E116" s="51"/>
      <c r="F116" s="51"/>
      <c r="G116" s="51"/>
      <c r="H116" s="53"/>
    </row>
    <row r="117" spans="1:8" ht="16.5" customHeight="1">
      <c r="B117" s="159">
        <f t="array" aca="1" ref="B117:H117" ca="1">Days+8+DATE(Calendar9Year,Calendar9MonthOption,1)-WEEKDAY(DATE(Calendar9Year,Calendar9MonthOption,1),WeekdayOption)</f>
        <v>46363</v>
      </c>
      <c r="C117" s="159">
        <f ca="1"/>
        <v>46364</v>
      </c>
      <c r="D117" s="159">
        <f ca="1"/>
        <v>46365</v>
      </c>
      <c r="E117" s="159">
        <f ca="1"/>
        <v>46366</v>
      </c>
      <c r="F117" s="159">
        <f ca="1"/>
        <v>46367</v>
      </c>
      <c r="G117" s="159">
        <f ca="1"/>
        <v>46368</v>
      </c>
      <c r="H117" s="160">
        <f ca="1"/>
        <v>46369</v>
      </c>
    </row>
    <row r="118" spans="1:8" ht="56.25" customHeight="1">
      <c r="B118" s="51"/>
      <c r="C118" s="51"/>
      <c r="D118" s="51"/>
      <c r="E118" s="51"/>
      <c r="F118" s="51"/>
      <c r="G118" s="51"/>
      <c r="H118" s="53"/>
    </row>
    <row r="119" spans="1:8" ht="16.5" customHeight="1">
      <c r="B119" s="159">
        <f t="array" aca="1" ref="B119:H119" ca="1">Days+15+DATE(Calendar9Year,Calendar9MonthOption,1)-WEEKDAY(DATE(Calendar9Year,Calendar9MonthOption,1),WeekdayOption)</f>
        <v>46370</v>
      </c>
      <c r="C119" s="159">
        <f ca="1"/>
        <v>46371</v>
      </c>
      <c r="D119" s="159">
        <f ca="1"/>
        <v>46372</v>
      </c>
      <c r="E119" s="159">
        <f ca="1"/>
        <v>46373</v>
      </c>
      <c r="F119" s="159">
        <f ca="1"/>
        <v>46374</v>
      </c>
      <c r="G119" s="159">
        <f ca="1"/>
        <v>46375</v>
      </c>
      <c r="H119" s="160">
        <f ca="1"/>
        <v>46376</v>
      </c>
    </row>
    <row r="120" spans="1:8" ht="56.25" customHeight="1">
      <c r="B120" s="51"/>
      <c r="C120" s="51"/>
      <c r="D120" s="51"/>
      <c r="E120" s="51"/>
      <c r="F120" s="51"/>
      <c r="G120" s="51"/>
      <c r="H120" s="53"/>
    </row>
    <row r="121" spans="1:8" ht="16.5" customHeight="1">
      <c r="B121" s="159">
        <f t="array" aca="1" ref="B121:H121" ca="1">Days+22+DATE(Calendar9Year,Calendar9MonthOption,1)-WEEKDAY(DATE(Calendar9Year,Calendar9MonthOption,1),WeekdayOption)</f>
        <v>46377</v>
      </c>
      <c r="C121" s="159">
        <f ca="1"/>
        <v>46378</v>
      </c>
      <c r="D121" s="159">
        <f ca="1"/>
        <v>46379</v>
      </c>
      <c r="E121" s="159">
        <f ca="1"/>
        <v>46380</v>
      </c>
      <c r="F121" s="159">
        <f ca="1"/>
        <v>46381</v>
      </c>
      <c r="G121" s="159">
        <f ca="1"/>
        <v>46382</v>
      </c>
      <c r="H121" s="160">
        <f ca="1"/>
        <v>46383</v>
      </c>
    </row>
    <row r="122" spans="1:8" ht="56.25" customHeight="1">
      <c r="B122" s="51"/>
      <c r="C122" s="51"/>
      <c r="D122" s="51"/>
      <c r="E122" s="51"/>
      <c r="F122" s="51"/>
      <c r="G122" s="51"/>
      <c r="H122" s="53"/>
    </row>
    <row r="123" spans="1:8" ht="16.5" customHeight="1">
      <c r="B123" s="159">
        <f t="array" aca="1" ref="B123:H123" ca="1">Days+29+DATE(Calendar9Year,Calendar9MonthOption,1)-WEEKDAY(DATE(Calendar9Year,Calendar9MonthOption,1),WeekdayOption)</f>
        <v>46384</v>
      </c>
      <c r="C123" s="159">
        <f ca="1"/>
        <v>46385</v>
      </c>
      <c r="D123" s="159">
        <f ca="1"/>
        <v>46386</v>
      </c>
      <c r="E123" s="159">
        <f ca="1"/>
        <v>46387</v>
      </c>
      <c r="F123" s="159">
        <f ca="1"/>
        <v>46388</v>
      </c>
      <c r="G123" s="159">
        <f ca="1"/>
        <v>46389</v>
      </c>
      <c r="H123" s="160">
        <f ca="1"/>
        <v>46390</v>
      </c>
    </row>
    <row r="124" spans="1:8" ht="57" customHeight="1">
      <c r="B124" s="51"/>
      <c r="C124" s="51"/>
      <c r="D124" s="51"/>
      <c r="E124" s="51"/>
      <c r="F124" s="51"/>
      <c r="G124" s="51"/>
      <c r="H124" s="52"/>
    </row>
    <row r="125" spans="1:8" ht="16.5" customHeight="1">
      <c r="B125" s="159">
        <f t="array" aca="1" ref="B125:C125" ca="1">Days+36+DATE(Calendar9Year,Calendar9MonthOption,1)-WEEKDAY(DATE(Calendar9Year,Calendar9MonthOption,1),WeekdayOption)</f>
        <v>46391</v>
      </c>
      <c r="C125" s="159">
        <f ca="1"/>
        <v>46392</v>
      </c>
      <c r="D125" s="193"/>
      <c r="E125" s="194"/>
      <c r="F125" s="194"/>
      <c r="G125" s="194"/>
      <c r="H125" s="194"/>
    </row>
    <row r="126" spans="1:8" ht="63.75" customHeight="1">
      <c r="B126" s="51"/>
      <c r="C126" s="51"/>
      <c r="D126" s="198" t="s">
        <v>220</v>
      </c>
      <c r="E126" s="196"/>
      <c r="F126" s="196"/>
      <c r="G126" s="196"/>
      <c r="H126" s="196"/>
    </row>
    <row r="127" spans="1:8" ht="54" customHeight="1">
      <c r="A127" s="56"/>
      <c r="B127" s="58">
        <f ca="1">YEAR(DATE(Calendar9Year,Calendar9MonthOption+1,1))</f>
        <v>2027</v>
      </c>
      <c r="C127" s="57" t="str">
        <f ca="1">TEXT(DATE(Calendar9Year,Calendar9MonthOption+1,1),"[DBNum1]m月;@")</f>
        <v>一月</v>
      </c>
      <c r="D127" s="56"/>
      <c r="E127" s="56"/>
      <c r="F127" s="56"/>
      <c r="G127" s="56"/>
      <c r="H127" s="56"/>
    </row>
    <row r="128" spans="1:8" ht="14.25" customHeight="1">
      <c r="A128" s="59"/>
      <c r="B128" s="54" t="str">
        <f t="shared" ref="B128:H128" ca="1" si="9">UPPER(TEXT(B129,"aaaa"))</f>
        <v>星期一</v>
      </c>
      <c r="C128" s="55" t="str">
        <f t="shared" ca="1" si="9"/>
        <v>星期二</v>
      </c>
      <c r="D128" s="54" t="str">
        <f t="shared" ca="1" si="9"/>
        <v>星期三</v>
      </c>
      <c r="E128" s="55" t="str">
        <f t="shared" ca="1" si="9"/>
        <v>星期四</v>
      </c>
      <c r="F128" s="54" t="str">
        <f t="shared" ca="1" si="9"/>
        <v>星期五</v>
      </c>
      <c r="G128" s="55" t="str">
        <f t="shared" ca="1" si="9"/>
        <v>星期六</v>
      </c>
      <c r="H128" s="54" t="str">
        <f t="shared" ca="1" si="9"/>
        <v>星期日</v>
      </c>
    </row>
    <row r="129" spans="2:8" ht="16.5" customHeight="1">
      <c r="B129" s="159">
        <f t="array" aca="1" ref="B129:H129" ca="1">Days+1+DATE(Calendar10Year,Calendar10MonthOption,1)-WEEKDAY(DATE(Calendar10Year,Calendar10MonthOption,1),WeekdayOption)</f>
        <v>46384</v>
      </c>
      <c r="C129" s="159">
        <f ca="1"/>
        <v>46385</v>
      </c>
      <c r="D129" s="159">
        <f ca="1"/>
        <v>46386</v>
      </c>
      <c r="E129" s="159">
        <f ca="1"/>
        <v>46387</v>
      </c>
      <c r="F129" s="159">
        <f ca="1"/>
        <v>46388</v>
      </c>
      <c r="G129" s="159">
        <f ca="1"/>
        <v>46389</v>
      </c>
      <c r="H129" s="160">
        <f ca="1"/>
        <v>46390</v>
      </c>
    </row>
    <row r="130" spans="2:8" ht="56.25" customHeight="1">
      <c r="B130" s="51"/>
      <c r="C130" s="51"/>
      <c r="D130" s="51"/>
      <c r="E130" s="51"/>
      <c r="F130" s="51"/>
      <c r="G130" s="51"/>
      <c r="H130" s="53"/>
    </row>
    <row r="131" spans="2:8" ht="16.5" customHeight="1">
      <c r="B131" s="159">
        <f t="array" aca="1" ref="B131:H131" ca="1">Days+8+DATE(Calendar10Year,Calendar10MonthOption,1)-WEEKDAY(DATE(Calendar10Year,Calendar10MonthOption,1),WeekdayOption)</f>
        <v>46391</v>
      </c>
      <c r="C131" s="159">
        <f ca="1"/>
        <v>46392</v>
      </c>
      <c r="D131" s="159">
        <f ca="1"/>
        <v>46393</v>
      </c>
      <c r="E131" s="159">
        <f ca="1"/>
        <v>46394</v>
      </c>
      <c r="F131" s="159">
        <f ca="1"/>
        <v>46395</v>
      </c>
      <c r="G131" s="159">
        <f ca="1"/>
        <v>46396</v>
      </c>
      <c r="H131" s="160">
        <f ca="1"/>
        <v>46397</v>
      </c>
    </row>
    <row r="132" spans="2:8" ht="56.25" customHeight="1">
      <c r="B132" s="51"/>
      <c r="C132" s="51"/>
      <c r="D132" s="51"/>
      <c r="E132" s="51"/>
      <c r="F132" s="51"/>
      <c r="G132" s="51"/>
      <c r="H132" s="53"/>
    </row>
    <row r="133" spans="2:8" ht="16.5" customHeight="1">
      <c r="B133" s="159">
        <f t="array" aca="1" ref="B133:H133" ca="1">Days+15+DATE(Calendar10Year,Calendar10MonthOption,1)-WEEKDAY(DATE(Calendar10Year,Calendar10MonthOption,1),WeekdayOption)</f>
        <v>46398</v>
      </c>
      <c r="C133" s="159">
        <f ca="1"/>
        <v>46399</v>
      </c>
      <c r="D133" s="159">
        <f ca="1"/>
        <v>46400</v>
      </c>
      <c r="E133" s="159">
        <f ca="1"/>
        <v>46401</v>
      </c>
      <c r="F133" s="159">
        <f ca="1"/>
        <v>46402</v>
      </c>
      <c r="G133" s="159">
        <f ca="1"/>
        <v>46403</v>
      </c>
      <c r="H133" s="160">
        <f ca="1"/>
        <v>46404</v>
      </c>
    </row>
    <row r="134" spans="2:8" ht="56.25" customHeight="1">
      <c r="B134" s="51"/>
      <c r="C134" s="51"/>
      <c r="D134" s="51"/>
      <c r="E134" s="51"/>
      <c r="F134" s="51"/>
      <c r="G134" s="51"/>
      <c r="H134" s="53"/>
    </row>
    <row r="135" spans="2:8" ht="16.5" customHeight="1">
      <c r="B135" s="159">
        <f t="array" aca="1" ref="B135:H135" ca="1">Days+22+DATE(Calendar10Year,Calendar10MonthOption,1)-WEEKDAY(DATE(Calendar10Year,Calendar10MonthOption,1),WeekdayOption)</f>
        <v>46405</v>
      </c>
      <c r="C135" s="159">
        <f ca="1"/>
        <v>46406</v>
      </c>
      <c r="D135" s="159">
        <f ca="1"/>
        <v>46407</v>
      </c>
      <c r="E135" s="159">
        <f ca="1"/>
        <v>46408</v>
      </c>
      <c r="F135" s="159">
        <f ca="1"/>
        <v>46409</v>
      </c>
      <c r="G135" s="159">
        <f ca="1"/>
        <v>46410</v>
      </c>
      <c r="H135" s="160">
        <f ca="1"/>
        <v>46411</v>
      </c>
    </row>
    <row r="136" spans="2:8" ht="56.25" customHeight="1">
      <c r="B136" s="51"/>
      <c r="C136" s="51"/>
      <c r="D136" s="51"/>
      <c r="E136" s="51"/>
      <c r="F136" s="51"/>
      <c r="G136" s="51"/>
      <c r="H136" s="53"/>
    </row>
    <row r="137" spans="2:8" ht="16.5" customHeight="1">
      <c r="B137" s="159">
        <f t="array" aca="1" ref="B137:H137" ca="1">Days+29+DATE(Calendar10Year,Calendar10MonthOption,1)-WEEKDAY(DATE(Calendar10Year,Calendar10MonthOption,1),WeekdayOption)</f>
        <v>46412</v>
      </c>
      <c r="C137" s="159">
        <f ca="1"/>
        <v>46413</v>
      </c>
      <c r="D137" s="159">
        <f ca="1"/>
        <v>46414</v>
      </c>
      <c r="E137" s="159">
        <f ca="1"/>
        <v>46415</v>
      </c>
      <c r="F137" s="159">
        <f ca="1"/>
        <v>46416</v>
      </c>
      <c r="G137" s="159">
        <f ca="1"/>
        <v>46417</v>
      </c>
      <c r="H137" s="160">
        <f ca="1"/>
        <v>46418</v>
      </c>
    </row>
    <row r="138" spans="2:8" ht="57" customHeight="1">
      <c r="B138" s="51"/>
      <c r="C138" s="51"/>
      <c r="D138" s="51"/>
      <c r="E138" s="51"/>
      <c r="F138" s="51"/>
      <c r="G138" s="51"/>
      <c r="H138" s="52"/>
    </row>
    <row r="139" spans="2:8" ht="16.5" customHeight="1">
      <c r="B139" s="159">
        <f t="array" aca="1" ref="B139:C139" ca="1">Days+36+DATE(Calendar10Year,Calendar10MonthOption,1)-WEEKDAY(DATE(Calendar10Year,Calendar10MonthOption,1),WeekdayOption)</f>
        <v>46419</v>
      </c>
      <c r="C139" s="159">
        <f ca="1"/>
        <v>46420</v>
      </c>
      <c r="D139" s="193" t="s">
        <v>209</v>
      </c>
      <c r="E139" s="194"/>
      <c r="F139" s="194"/>
      <c r="G139" s="194"/>
      <c r="H139" s="194"/>
    </row>
    <row r="140" spans="2:8" ht="63.75" customHeight="1">
      <c r="B140" s="51"/>
      <c r="C140" s="51"/>
      <c r="D140" s="197"/>
      <c r="E140" s="196"/>
      <c r="F140" s="196"/>
      <c r="G140" s="196"/>
      <c r="H140" s="196"/>
    </row>
    <row r="141" spans="2:8" ht="54" customHeight="1">
      <c r="B141" s="58">
        <f ca="1">YEAR(DATE(Calendar10Year,Calendar10MonthOption+1,1))</f>
        <v>2027</v>
      </c>
      <c r="C141" s="57" t="str">
        <f ca="1">TEXT(DATE(Calendar10Year,Calendar10MonthOption+1,1),"[DBNum1]m月;@")</f>
        <v>二月</v>
      </c>
      <c r="D141" s="56"/>
      <c r="E141" s="56"/>
      <c r="F141" s="56"/>
      <c r="G141" s="56"/>
      <c r="H141" s="56"/>
    </row>
    <row r="142" spans="2:8" ht="14.25" customHeight="1">
      <c r="B142" s="54" t="str">
        <f t="shared" ref="B142:H142" ca="1" si="10">UPPER(TEXT(B143,"aaaa"))</f>
        <v>星期一</v>
      </c>
      <c r="C142" s="55" t="str">
        <f t="shared" ca="1" si="10"/>
        <v>星期二</v>
      </c>
      <c r="D142" s="54" t="str">
        <f t="shared" ca="1" si="10"/>
        <v>星期三</v>
      </c>
      <c r="E142" s="55" t="str">
        <f t="shared" ca="1" si="10"/>
        <v>星期四</v>
      </c>
      <c r="F142" s="54" t="str">
        <f t="shared" ca="1" si="10"/>
        <v>星期五</v>
      </c>
      <c r="G142" s="55" t="str">
        <f t="shared" ca="1" si="10"/>
        <v>星期六</v>
      </c>
      <c r="H142" s="54" t="str">
        <f t="shared" ca="1" si="10"/>
        <v>星期日</v>
      </c>
    </row>
    <row r="143" spans="2:8" ht="16.5" customHeight="1">
      <c r="B143" s="159">
        <f t="array" aca="1" ref="B143:H143" ca="1">Days+1+DATE(Calendar11Year,Calendar11MonthOption,1)-WEEKDAY(DATE(Calendar11Year,Calendar11MonthOption,1),WeekdayOption)</f>
        <v>46419</v>
      </c>
      <c r="C143" s="159">
        <f ca="1"/>
        <v>46420</v>
      </c>
      <c r="D143" s="159">
        <f ca="1"/>
        <v>46421</v>
      </c>
      <c r="E143" s="159">
        <f ca="1"/>
        <v>46422</v>
      </c>
      <c r="F143" s="159">
        <f ca="1"/>
        <v>46423</v>
      </c>
      <c r="G143" s="159">
        <f ca="1"/>
        <v>46424</v>
      </c>
      <c r="H143" s="160">
        <f ca="1"/>
        <v>46425</v>
      </c>
    </row>
    <row r="144" spans="2:8" ht="56.25" customHeight="1">
      <c r="B144" s="51"/>
      <c r="C144" s="51"/>
      <c r="D144" s="51"/>
      <c r="E144" s="51"/>
      <c r="F144" s="51"/>
      <c r="G144" s="51"/>
      <c r="H144" s="53"/>
    </row>
    <row r="145" spans="2:8" ht="16.5" customHeight="1">
      <c r="B145" s="159">
        <f t="array" aca="1" ref="B145:H145" ca="1">Days+8+DATE(Calendar11Year,Calendar11MonthOption,1)-WEEKDAY(DATE(Calendar11Year,Calendar11MonthOption,1),WeekdayOption)</f>
        <v>46426</v>
      </c>
      <c r="C145" s="159">
        <f ca="1"/>
        <v>46427</v>
      </c>
      <c r="D145" s="159">
        <f ca="1"/>
        <v>46428</v>
      </c>
      <c r="E145" s="159">
        <f ca="1"/>
        <v>46429</v>
      </c>
      <c r="F145" s="159">
        <f ca="1"/>
        <v>46430</v>
      </c>
      <c r="G145" s="159">
        <f ca="1"/>
        <v>46431</v>
      </c>
      <c r="H145" s="160">
        <f ca="1"/>
        <v>46432</v>
      </c>
    </row>
    <row r="146" spans="2:8" ht="56.25" customHeight="1">
      <c r="B146" s="51"/>
      <c r="C146" s="51"/>
      <c r="D146" s="51"/>
      <c r="E146" s="51"/>
      <c r="F146" s="51"/>
      <c r="G146" s="51"/>
      <c r="H146" s="53"/>
    </row>
    <row r="147" spans="2:8" ht="16.5" customHeight="1">
      <c r="B147" s="159">
        <f t="array" aca="1" ref="B147:H147" ca="1">Days+15+DATE(Calendar11Year,Calendar11MonthOption,1)-WEEKDAY(DATE(Calendar11Year,Calendar11MonthOption,1),WeekdayOption)</f>
        <v>46433</v>
      </c>
      <c r="C147" s="159">
        <f ca="1"/>
        <v>46434</v>
      </c>
      <c r="D147" s="159">
        <f ca="1"/>
        <v>46435</v>
      </c>
      <c r="E147" s="159">
        <f ca="1"/>
        <v>46436</v>
      </c>
      <c r="F147" s="159">
        <f ca="1"/>
        <v>46437</v>
      </c>
      <c r="G147" s="159">
        <f ca="1"/>
        <v>46438</v>
      </c>
      <c r="H147" s="160">
        <f ca="1"/>
        <v>46439</v>
      </c>
    </row>
    <row r="148" spans="2:8" ht="56.25" customHeight="1">
      <c r="B148" s="51"/>
      <c r="C148" s="51"/>
      <c r="D148" s="51"/>
      <c r="E148" s="51"/>
      <c r="F148" s="51"/>
      <c r="G148" s="51"/>
      <c r="H148" s="53"/>
    </row>
    <row r="149" spans="2:8" ht="16.5" customHeight="1">
      <c r="B149" s="159">
        <f t="array" aca="1" ref="B149:H149" ca="1">Days+22+DATE(Calendar11Year,Calendar11MonthOption,1)-WEEKDAY(DATE(Calendar11Year,Calendar11MonthOption,1),WeekdayOption)</f>
        <v>46440</v>
      </c>
      <c r="C149" s="159">
        <f ca="1"/>
        <v>46441</v>
      </c>
      <c r="D149" s="159">
        <f ca="1"/>
        <v>46442</v>
      </c>
      <c r="E149" s="159">
        <f ca="1"/>
        <v>46443</v>
      </c>
      <c r="F149" s="159">
        <f ca="1"/>
        <v>46444</v>
      </c>
      <c r="G149" s="159">
        <f ca="1"/>
        <v>46445</v>
      </c>
      <c r="H149" s="160">
        <f ca="1"/>
        <v>46446</v>
      </c>
    </row>
    <row r="150" spans="2:8" ht="56.25" customHeight="1">
      <c r="B150" s="51"/>
      <c r="C150" s="51"/>
      <c r="D150" s="51"/>
      <c r="E150" s="51"/>
      <c r="F150" s="51"/>
      <c r="G150" s="51"/>
      <c r="H150" s="53"/>
    </row>
    <row r="151" spans="2:8" ht="16.5" customHeight="1">
      <c r="B151" s="159">
        <f t="array" aca="1" ref="B151:H151" ca="1">Days+29+DATE(Calendar11Year,Calendar11MonthOption,1)-WEEKDAY(DATE(Calendar11Year,Calendar11MonthOption,1),WeekdayOption)</f>
        <v>46447</v>
      </c>
      <c r="C151" s="159">
        <f ca="1"/>
        <v>46448</v>
      </c>
      <c r="D151" s="159">
        <f ca="1"/>
        <v>46449</v>
      </c>
      <c r="E151" s="159">
        <f ca="1"/>
        <v>46450</v>
      </c>
      <c r="F151" s="159">
        <f ca="1"/>
        <v>46451</v>
      </c>
      <c r="G151" s="159">
        <f ca="1"/>
        <v>46452</v>
      </c>
      <c r="H151" s="160">
        <f ca="1"/>
        <v>46453</v>
      </c>
    </row>
    <row r="152" spans="2:8" ht="57" customHeight="1">
      <c r="B152" s="51"/>
      <c r="C152" s="51"/>
      <c r="D152" s="51"/>
      <c r="E152" s="51"/>
      <c r="F152" s="51"/>
      <c r="G152" s="51"/>
      <c r="H152" s="52"/>
    </row>
    <row r="153" spans="2:8" ht="16.5" customHeight="1">
      <c r="B153" s="159">
        <f t="array" aca="1" ref="B153:C153" ca="1">Days+36+DATE(Calendar11Year,Calendar11MonthOption,1)-WEEKDAY(DATE(Calendar11Year,Calendar11MonthOption,1),WeekdayOption)</f>
        <v>46454</v>
      </c>
      <c r="C153" s="159">
        <f ca="1"/>
        <v>46455</v>
      </c>
      <c r="D153" s="193" t="s">
        <v>209</v>
      </c>
      <c r="E153" s="194"/>
      <c r="F153" s="194"/>
      <c r="G153" s="194"/>
      <c r="H153" s="194"/>
    </row>
    <row r="154" spans="2:8" ht="63.75" customHeight="1">
      <c r="B154" s="51"/>
      <c r="C154" s="51"/>
      <c r="D154" s="197"/>
      <c r="E154" s="196"/>
      <c r="F154" s="196"/>
      <c r="G154" s="196"/>
      <c r="H154" s="196"/>
    </row>
    <row r="155" spans="2:8" ht="54" customHeight="1">
      <c r="B155" s="58">
        <f ca="1">YEAR(DATE(Calendar11Year,Calendar11MonthOption+1,1))</f>
        <v>2027</v>
      </c>
      <c r="C155" s="57" t="str">
        <f ca="1">TEXT(DATE(Calendar11Year,Calendar11MonthOption+1,1),"[DBNum1]m月;@")</f>
        <v>三月</v>
      </c>
      <c r="D155" s="56"/>
      <c r="E155" s="56"/>
      <c r="F155" s="56"/>
      <c r="G155" s="56"/>
      <c r="H155" s="56"/>
    </row>
    <row r="156" spans="2:8" ht="14.25" customHeight="1">
      <c r="B156" s="54" t="str">
        <f t="shared" ref="B156:H156" ca="1" si="11">UPPER(TEXT(B157,"aaaa"))</f>
        <v>星期一</v>
      </c>
      <c r="C156" s="55" t="str">
        <f t="shared" ca="1" si="11"/>
        <v>星期二</v>
      </c>
      <c r="D156" s="54" t="str">
        <f t="shared" ca="1" si="11"/>
        <v>星期三</v>
      </c>
      <c r="E156" s="55" t="str">
        <f t="shared" ca="1" si="11"/>
        <v>星期四</v>
      </c>
      <c r="F156" s="54" t="str">
        <f t="shared" ca="1" si="11"/>
        <v>星期五</v>
      </c>
      <c r="G156" s="55" t="str">
        <f t="shared" ca="1" si="11"/>
        <v>星期六</v>
      </c>
      <c r="H156" s="54" t="str">
        <f t="shared" ca="1" si="11"/>
        <v>星期日</v>
      </c>
    </row>
    <row r="157" spans="2:8" ht="16.5" customHeight="1">
      <c r="B157" s="159">
        <f t="array" aca="1" ref="B157:H157" ca="1">Days+1+DATE(Calendar12Year,Calendar12MonthOption,1)-WEEKDAY(DATE(Calendar12Year,Calendar12MonthOption,1),WeekdayOption)</f>
        <v>46447</v>
      </c>
      <c r="C157" s="159">
        <f ca="1"/>
        <v>46448</v>
      </c>
      <c r="D157" s="159">
        <f ca="1"/>
        <v>46449</v>
      </c>
      <c r="E157" s="159">
        <f ca="1"/>
        <v>46450</v>
      </c>
      <c r="F157" s="159">
        <f ca="1"/>
        <v>46451</v>
      </c>
      <c r="G157" s="159">
        <f ca="1"/>
        <v>46452</v>
      </c>
      <c r="H157" s="160">
        <f ca="1"/>
        <v>46453</v>
      </c>
    </row>
    <row r="158" spans="2:8" ht="56.25" customHeight="1">
      <c r="B158" s="51"/>
      <c r="C158" s="51"/>
      <c r="D158" s="51"/>
      <c r="E158" s="51"/>
      <c r="F158" s="51"/>
      <c r="G158" s="51"/>
      <c r="H158" s="53"/>
    </row>
    <row r="159" spans="2:8" ht="16.5" customHeight="1">
      <c r="B159" s="159">
        <f t="array" aca="1" ref="B159:H159" ca="1">Days+8+DATE(Calendar12Year,Calendar12MonthOption,1)-WEEKDAY(DATE(Calendar12Year,Calendar12MonthOption,1),WeekdayOption)</f>
        <v>46454</v>
      </c>
      <c r="C159" s="159">
        <f ca="1"/>
        <v>46455</v>
      </c>
      <c r="D159" s="159">
        <f ca="1"/>
        <v>46456</v>
      </c>
      <c r="E159" s="159">
        <f ca="1"/>
        <v>46457</v>
      </c>
      <c r="F159" s="159">
        <f ca="1"/>
        <v>46458</v>
      </c>
      <c r="G159" s="159">
        <f ca="1"/>
        <v>46459</v>
      </c>
      <c r="H159" s="160">
        <f ca="1"/>
        <v>46460</v>
      </c>
    </row>
    <row r="160" spans="2:8" ht="56.25" customHeight="1">
      <c r="B160" s="51"/>
      <c r="C160" s="51"/>
      <c r="D160" s="51"/>
      <c r="E160" s="51"/>
      <c r="F160" s="51"/>
      <c r="G160" s="51"/>
      <c r="H160" s="53"/>
    </row>
    <row r="161" spans="2:8" ht="16.5" customHeight="1">
      <c r="B161" s="159">
        <f t="array" aca="1" ref="B161:H161" ca="1">Days+15+DATE(Calendar12Year,Calendar12MonthOption,1)-WEEKDAY(DATE(Calendar12Year,Calendar12MonthOption,1),WeekdayOption)</f>
        <v>46461</v>
      </c>
      <c r="C161" s="159">
        <f ca="1"/>
        <v>46462</v>
      </c>
      <c r="D161" s="159">
        <f ca="1"/>
        <v>46463</v>
      </c>
      <c r="E161" s="159">
        <f ca="1"/>
        <v>46464</v>
      </c>
      <c r="F161" s="159">
        <f ca="1"/>
        <v>46465</v>
      </c>
      <c r="G161" s="159">
        <f ca="1"/>
        <v>46466</v>
      </c>
      <c r="H161" s="160">
        <f ca="1"/>
        <v>46467</v>
      </c>
    </row>
    <row r="162" spans="2:8" ht="56.25" customHeight="1">
      <c r="B162" s="51"/>
      <c r="C162" s="51"/>
      <c r="D162" s="51"/>
      <c r="E162" s="51"/>
      <c r="F162" s="51"/>
      <c r="G162" s="51"/>
      <c r="H162" s="53"/>
    </row>
    <row r="163" spans="2:8" ht="16.5" customHeight="1">
      <c r="B163" s="159">
        <f t="array" aca="1" ref="B163:H163" ca="1">Days+22+DATE(Calendar12Year,Calendar12MonthOption,1)-WEEKDAY(DATE(Calendar12Year,Calendar12MonthOption,1),WeekdayOption)</f>
        <v>46468</v>
      </c>
      <c r="C163" s="159">
        <f ca="1"/>
        <v>46469</v>
      </c>
      <c r="D163" s="159">
        <f ca="1"/>
        <v>46470</v>
      </c>
      <c r="E163" s="159">
        <f ca="1"/>
        <v>46471</v>
      </c>
      <c r="F163" s="159">
        <f ca="1"/>
        <v>46472</v>
      </c>
      <c r="G163" s="159">
        <f ca="1"/>
        <v>46473</v>
      </c>
      <c r="H163" s="160">
        <f ca="1"/>
        <v>46474</v>
      </c>
    </row>
    <row r="164" spans="2:8" ht="56.25" customHeight="1">
      <c r="B164" s="51"/>
      <c r="C164" s="51"/>
      <c r="D164" s="51"/>
      <c r="E164" s="51"/>
      <c r="F164" s="51"/>
      <c r="G164" s="51"/>
      <c r="H164" s="53"/>
    </row>
    <row r="165" spans="2:8" ht="16.5" customHeight="1">
      <c r="B165" s="159">
        <f t="array" aca="1" ref="B165:H165" ca="1">Days+29+DATE(Calendar12Year,Calendar12MonthOption,1)-WEEKDAY(DATE(Calendar12Year,Calendar12MonthOption,1),WeekdayOption)</f>
        <v>46475</v>
      </c>
      <c r="C165" s="159">
        <f ca="1"/>
        <v>46476</v>
      </c>
      <c r="D165" s="159">
        <f ca="1"/>
        <v>46477</v>
      </c>
      <c r="E165" s="159">
        <f ca="1"/>
        <v>46478</v>
      </c>
      <c r="F165" s="159">
        <f ca="1"/>
        <v>46479</v>
      </c>
      <c r="G165" s="159">
        <f ca="1"/>
        <v>46480</v>
      </c>
      <c r="H165" s="160">
        <f ca="1"/>
        <v>46481</v>
      </c>
    </row>
    <row r="166" spans="2:8" ht="57" customHeight="1">
      <c r="B166" s="51"/>
      <c r="C166" s="51"/>
      <c r="D166" s="51"/>
      <c r="E166" s="51"/>
      <c r="F166" s="51"/>
      <c r="G166" s="51"/>
      <c r="H166" s="52"/>
    </row>
    <row r="167" spans="2:8" ht="16.5" customHeight="1">
      <c r="B167" s="159">
        <f t="array" aca="1" ref="B167:C167" ca="1">Days+36+DATE(Calendar12Year,Calendar12MonthOption,1)-WEEKDAY(DATE(Calendar12Year,Calendar12MonthOption,1),WeekdayOption)</f>
        <v>46482</v>
      </c>
      <c r="C167" s="159">
        <f ca="1"/>
        <v>46483</v>
      </c>
      <c r="D167" s="193" t="s">
        <v>209</v>
      </c>
      <c r="E167" s="194"/>
      <c r="F167" s="194"/>
      <c r="G167" s="194"/>
      <c r="H167" s="194"/>
    </row>
    <row r="168" spans="2:8" ht="63.75" customHeight="1">
      <c r="B168" s="51"/>
      <c r="C168" s="51"/>
      <c r="D168" s="197"/>
      <c r="E168" s="196"/>
      <c r="F168" s="196"/>
      <c r="G168" s="196"/>
      <c r="H168" s="196"/>
    </row>
  </sheetData>
  <mergeCells count="24">
    <mergeCell ref="D168:H168"/>
    <mergeCell ref="E1:H1"/>
    <mergeCell ref="D56:H56"/>
    <mergeCell ref="D167:H167"/>
    <mergeCell ref="D83:H83"/>
    <mergeCell ref="D55:H55"/>
    <mergeCell ref="D42:H42"/>
    <mergeCell ref="D98:H98"/>
    <mergeCell ref="D154:H154"/>
    <mergeCell ref="D41:H41"/>
    <mergeCell ref="D70:H70"/>
    <mergeCell ref="D97:H97"/>
    <mergeCell ref="D126:H126"/>
    <mergeCell ref="D125:H125"/>
    <mergeCell ref="D112:H112"/>
    <mergeCell ref="D153:H153"/>
    <mergeCell ref="D13:H14"/>
    <mergeCell ref="D69:H69"/>
    <mergeCell ref="D84:H84"/>
    <mergeCell ref="D140:H140"/>
    <mergeCell ref="D111:H111"/>
    <mergeCell ref="D139:H139"/>
    <mergeCell ref="D27:H27"/>
    <mergeCell ref="D28:H28"/>
  </mergeCells>
  <phoneticPr fontId="3" type="noConversion"/>
  <conditionalFormatting sqref="B3:H3 B5:H5 B7:H7 B9:H9 B11:H11 B13:C13">
    <cfRule type="expression" dxfId="11" priority="12">
      <formula>MONTH(B3)&lt;&gt;Calendar1MonthOption</formula>
    </cfRule>
  </conditionalFormatting>
  <conditionalFormatting sqref="B17:H17 B19:H19 B21:H21 B23:H23 B25:H25 B27:C27">
    <cfRule type="expression" dxfId="10" priority="11">
      <formula>MONTH(B17)&lt;&gt;Calendar2MonthOption</formula>
    </cfRule>
  </conditionalFormatting>
  <conditionalFormatting sqref="B31:H31 B33:H33 B35:H35 B37:H37 B39:H39 B41:C41">
    <cfRule type="expression" dxfId="9" priority="10">
      <formula>MONTH(B31)&lt;&gt;Calendar3MonthOption</formula>
    </cfRule>
  </conditionalFormatting>
  <conditionalFormatting sqref="B45:H45 B47:H47 B49:H49 B51:H51 B53:H53 B55:C55">
    <cfRule type="expression" dxfId="8" priority="9">
      <formula>MONTH(B45)&lt;&gt;Calendar4MonthOption</formula>
    </cfRule>
  </conditionalFormatting>
  <conditionalFormatting sqref="B59:H59 B61:H61 B63:H63 B65:H65 B67:H67 B69:C69">
    <cfRule type="expression" dxfId="7" priority="8">
      <formula>MONTH(B59)&lt;&gt;Calendar5MonthOption</formula>
    </cfRule>
  </conditionalFormatting>
  <conditionalFormatting sqref="B73:H73 B75:H75 B77:H77 B79:H79 B81:H81 B83:C83">
    <cfRule type="expression" dxfId="6" priority="7">
      <formula>MONTH(B73)&lt;&gt;Calendar6MonthOption</formula>
    </cfRule>
  </conditionalFormatting>
  <conditionalFormatting sqref="B87:H87 B89:H89 B91:H91 B93:H93 B95:H95 B97:C97">
    <cfRule type="expression" dxfId="5" priority="6">
      <formula>MONTH(B87)&lt;&gt;Calendar7MonthOption</formula>
    </cfRule>
  </conditionalFormatting>
  <conditionalFormatting sqref="B101:H101 B103:H103 B105:H105 B107:H107 B109:H109 B111:C111">
    <cfRule type="expression" dxfId="4" priority="5">
      <formula>MONTH(B101)&lt;&gt;Calendar8MonthOption</formula>
    </cfRule>
  </conditionalFormatting>
  <conditionalFormatting sqref="B115:H115 B117:H117 B119:H119 B121:H121 B123:H123 B125:C125">
    <cfRule type="expression" dxfId="3" priority="4">
      <formula>MONTH(B115)&lt;&gt;Calendar9MonthOption</formula>
    </cfRule>
  </conditionalFormatting>
  <conditionalFormatting sqref="B129:H129 B131:H131 B133:H133 B135:H135 B137:H137 B139:C139">
    <cfRule type="expression" dxfId="2" priority="3">
      <formula>MONTH(B129)&lt;&gt;Calendar10MonthOption</formula>
    </cfRule>
  </conditionalFormatting>
  <conditionalFormatting sqref="B143:H143 B145:H145 B147:H147 B149:H149 B151:H151 B153:C153">
    <cfRule type="expression" dxfId="1" priority="2">
      <formula>MONTH(B143)&lt;&gt;Calendar11MonthOption</formula>
    </cfRule>
  </conditionalFormatting>
  <conditionalFormatting sqref="B157:H157 B159:H159 B161:H161 B163:H163 B165:H165 B167:C167">
    <cfRule type="expression" dxfId="0" priority="1">
      <formula>MONTH(B157)&lt;&gt;Calendar12MonthOption</formula>
    </cfRule>
  </conditionalFormatting>
  <dataValidations count="10">
    <dataValidation allowBlank="1" showInputMessage="1" prompt="自動判定工作日。若要變更工作日，請在 B2 選取新的每週起始日" sqref="B16 C2:H2"/>
    <dataValidation allowBlank="1" showInputMessage="1" prompt="行事曆月份會根據 C1 中選取的月份自動順移" sqref="C15"/>
    <dataValidation allowBlank="1" showInputMessage="1" prompt="行事曆年份會根據 B1 中輸入的年份自動判定" sqref="B15"/>
    <dataValidation allowBlank="1" showInputMessage="1" prompt="在這裡輸入每日附註" sqref="B4 B18"/>
    <dataValidation allowBlank="1" showInputMessage="1" prompt="每月附註標題" sqref="D13"/>
    <dataValidation allowBlank="1" showInputMessage="1" prompt="日期" sqref="B3"/>
    <dataValidation allowBlank="1" showInputMessage="1" showErrorMessage="1" prompt="輸入此行事曆的年份" sqref="B1"/>
    <dataValidation allowBlank="1" showInputMessage="1" prompt="此活頁簿是 12 月份行事曆。在儲存格 B1 輸入起始年份，然後在儲存格 C1 選取起始月份。行事曆會自動更新後續月份" sqref="A1"/>
    <dataValidation type="list" allowBlank="1" showInputMessage="1" showErrorMessage="1" error="從清單項目選取月份。選取 [取消]，然後按 ALT+向下鍵，以從下拉式清單挑選" prompt="從下拉式清單選取行事曆起始月份。按 ALT+向下鍵以開啟下拉式清單，然後按 ENTER 以選擇其中一個項目" sqref="C1">
      <formula1>"一月,二月,三月,四月,五月,六月,七月,八月,九月,十月,十一月,十二月"</formula1>
    </dataValidation>
    <dataValidation type="list" allowBlank="1" showInputMessage="1" showErrorMessage="1" error="工作日標題只能自下拉式清單中選擇。若要選取不同的工作日，請先選取 [取消]，然後按 ALT+向下鍵，以從下拉式清單中挑選" prompt="從下拉式清單中選取每週的起始日。按 ALT+向下鍵以開啟下拉式清單，然後按 ENTER 選取星期幾。行事曆會自動更新" sqref="B2">
      <formula1>"星期日,星期一,星期二,星期三,星期四,星期五,星期六"</formula1>
    </dataValidation>
  </dataValidations>
  <printOptions horizontalCentered="1" verticalCentered="1"/>
  <pageMargins left="0.25" right="0.25" top="0.75" bottom="0.75" header="0.3" footer="0.3"/>
  <pageSetup paperSize="9" scale="10" orientation="landscape" r:id="rId1"/>
  <rowBreaks count="11" manualBreakCount="11">
    <brk id="14" max="16383" man="1"/>
    <brk id="28" max="16383" man="1"/>
    <brk id="42" max="16383" man="1"/>
    <brk id="56" max="16383" man="1"/>
    <brk id="70" min="1" max="8" man="1"/>
    <brk id="84" min="1" max="8" man="1"/>
    <brk id="98" min="1" max="8" man="1"/>
    <brk id="112" min="1" max="8" man="1"/>
    <brk id="126" min="1" max="8" man="1"/>
    <brk id="140" min="1" max="8" man="1"/>
    <brk id="154" min="1" max="8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2"/>
  <sheetViews>
    <sheetView view="pageBreakPreview" zoomScale="60" zoomScaleNormal="100" workbookViewId="0">
      <selection sqref="A1:J1"/>
    </sheetView>
  </sheetViews>
  <sheetFormatPr defaultRowHeight="16.5"/>
  <cols>
    <col min="1" max="1" width="7" style="149" customWidth="1"/>
    <col min="2" max="2" width="9.5" style="149" customWidth="1"/>
    <col min="3" max="3" width="23.25" style="149" customWidth="1"/>
    <col min="4" max="4" width="18.5" style="149" customWidth="1"/>
    <col min="5" max="5" width="27.375" style="149" customWidth="1"/>
    <col min="6" max="6" width="1.875" style="149" hidden="1" customWidth="1"/>
    <col min="7" max="7" width="10.25" style="149" hidden="1" customWidth="1"/>
    <col min="8" max="8" width="11.875" style="149" hidden="1" customWidth="1"/>
    <col min="9" max="9" width="16.125" style="149" customWidth="1"/>
    <col min="10" max="10" width="33.5" style="149" customWidth="1"/>
  </cols>
  <sheetData>
    <row r="1" spans="1:11" ht="62.25" customHeight="1" thickBot="1">
      <c r="A1" s="205" t="s">
        <v>221</v>
      </c>
      <c r="B1" s="181"/>
      <c r="C1" s="181"/>
      <c r="D1" s="181"/>
      <c r="E1" s="181"/>
      <c r="F1" s="181"/>
      <c r="G1" s="181"/>
      <c r="H1" s="181"/>
      <c r="I1" s="181"/>
      <c r="J1" s="182"/>
    </row>
    <row r="2" spans="1:11" ht="24.95" customHeight="1" thickBot="1">
      <c r="A2" s="98" t="s">
        <v>222</v>
      </c>
      <c r="B2" s="102" t="s">
        <v>1</v>
      </c>
      <c r="C2" s="102" t="s">
        <v>186</v>
      </c>
      <c r="D2" s="102" t="s">
        <v>20</v>
      </c>
      <c r="E2" s="102" t="s">
        <v>11</v>
      </c>
      <c r="F2" s="102" t="s">
        <v>223</v>
      </c>
      <c r="G2" s="102" t="s">
        <v>224</v>
      </c>
      <c r="H2" s="102" t="s">
        <v>225</v>
      </c>
      <c r="I2" s="102" t="s">
        <v>18</v>
      </c>
      <c r="J2" s="102" t="s">
        <v>226</v>
      </c>
      <c r="K2" s="96"/>
    </row>
    <row r="3" spans="1:11" s="79" customFormat="1" ht="24.95" customHeight="1" thickBot="1">
      <c r="A3" s="99">
        <v>1</v>
      </c>
      <c r="B3" s="100"/>
      <c r="C3" s="100"/>
      <c r="D3" s="165"/>
      <c r="E3" s="100"/>
      <c r="F3" s="100" t="s">
        <v>227</v>
      </c>
      <c r="G3" s="100" t="s">
        <v>227</v>
      </c>
      <c r="H3" s="100" t="s">
        <v>228</v>
      </c>
      <c r="I3" s="100"/>
      <c r="J3" s="100"/>
      <c r="K3" s="97"/>
    </row>
    <row r="4" spans="1:11" s="79" customFormat="1" ht="24.95" customHeight="1" thickBot="1">
      <c r="A4" s="99">
        <v>2</v>
      </c>
      <c r="B4" s="100"/>
      <c r="C4" s="100"/>
      <c r="D4" s="165"/>
      <c r="E4" s="100"/>
      <c r="F4" s="100" t="s">
        <v>227</v>
      </c>
      <c r="G4" s="100" t="s">
        <v>227</v>
      </c>
      <c r="H4" s="100" t="s">
        <v>228</v>
      </c>
      <c r="I4" s="100"/>
      <c r="J4" s="100"/>
      <c r="K4" s="97"/>
    </row>
    <row r="5" spans="1:11" s="79" customFormat="1" ht="24.95" customHeight="1" thickBot="1">
      <c r="A5" s="99">
        <v>3</v>
      </c>
      <c r="B5" s="100"/>
      <c r="C5" s="100"/>
      <c r="D5" s="165"/>
      <c r="E5" s="100"/>
      <c r="F5" s="100" t="s">
        <v>227</v>
      </c>
      <c r="G5" s="100" t="s">
        <v>227</v>
      </c>
      <c r="H5" s="100" t="s">
        <v>228</v>
      </c>
      <c r="I5" s="100"/>
      <c r="J5" s="100"/>
      <c r="K5" s="97"/>
    </row>
    <row r="6" spans="1:11" s="79" customFormat="1" ht="24.95" customHeight="1" thickBot="1">
      <c r="A6" s="99">
        <v>4</v>
      </c>
      <c r="B6" s="100"/>
      <c r="C6" s="100"/>
      <c r="D6" s="165"/>
      <c r="E6" s="100"/>
      <c r="F6" s="100" t="s">
        <v>227</v>
      </c>
      <c r="G6" s="100" t="s">
        <v>227</v>
      </c>
      <c r="H6" s="100" t="s">
        <v>228</v>
      </c>
      <c r="I6" s="100"/>
      <c r="J6" s="100"/>
      <c r="K6" s="97"/>
    </row>
    <row r="7" spans="1:11" s="79" customFormat="1" ht="24.95" customHeight="1" thickBot="1">
      <c r="A7" s="99">
        <v>5</v>
      </c>
      <c r="B7" s="100"/>
      <c r="C7" s="100"/>
      <c r="D7" s="165"/>
      <c r="E7" s="100"/>
      <c r="F7" s="100" t="s">
        <v>227</v>
      </c>
      <c r="G7" s="100" t="s">
        <v>227</v>
      </c>
      <c r="H7" s="100" t="s">
        <v>228</v>
      </c>
      <c r="I7" s="100"/>
      <c r="J7" s="100"/>
      <c r="K7" s="97"/>
    </row>
    <row r="8" spans="1:11" s="79" customFormat="1" ht="24.95" customHeight="1" thickBot="1">
      <c r="A8" s="99">
        <v>6</v>
      </c>
      <c r="B8" s="100"/>
      <c r="C8" s="100"/>
      <c r="D8" s="165"/>
      <c r="E8" s="103"/>
      <c r="F8" s="100" t="s">
        <v>227</v>
      </c>
      <c r="G8" s="100" t="s">
        <v>227</v>
      </c>
      <c r="H8" s="100" t="s">
        <v>228</v>
      </c>
      <c r="I8" s="100"/>
      <c r="J8" s="100"/>
      <c r="K8" s="97"/>
    </row>
    <row r="9" spans="1:11" s="79" customFormat="1" ht="24.95" customHeight="1" thickBot="1">
      <c r="A9" s="99">
        <v>7</v>
      </c>
      <c r="B9" s="100"/>
      <c r="C9" s="100"/>
      <c r="D9" s="165"/>
      <c r="E9" s="100"/>
      <c r="F9" s="100" t="s">
        <v>227</v>
      </c>
      <c r="G9" s="100" t="s">
        <v>227</v>
      </c>
      <c r="H9" s="100" t="s">
        <v>228</v>
      </c>
      <c r="I9" s="100"/>
      <c r="J9" s="100"/>
      <c r="K9" s="97"/>
    </row>
    <row r="10" spans="1:11" s="79" customFormat="1" ht="24.95" customHeight="1" thickBot="1">
      <c r="A10" s="99">
        <v>8</v>
      </c>
      <c r="B10" s="100"/>
      <c r="C10" s="100"/>
      <c r="D10" s="165"/>
      <c r="E10" s="100"/>
      <c r="F10" s="100" t="s">
        <v>227</v>
      </c>
      <c r="G10" s="100" t="s">
        <v>227</v>
      </c>
      <c r="H10" s="100" t="s">
        <v>228</v>
      </c>
      <c r="I10" s="100"/>
      <c r="J10" s="100"/>
      <c r="K10" s="97"/>
    </row>
    <row r="11" spans="1:11" s="79" customFormat="1" ht="24.95" customHeight="1" thickBot="1">
      <c r="A11" s="99">
        <v>9</v>
      </c>
      <c r="B11" s="100"/>
      <c r="C11" s="100"/>
      <c r="D11" s="165"/>
      <c r="E11" s="100"/>
      <c r="F11" s="100" t="s">
        <v>227</v>
      </c>
      <c r="G11" s="100" t="s">
        <v>227</v>
      </c>
      <c r="H11" s="100" t="s">
        <v>228</v>
      </c>
      <c r="I11" s="100"/>
      <c r="J11" s="100"/>
      <c r="K11" s="97"/>
    </row>
    <row r="12" spans="1:11" s="79" customFormat="1" ht="24.95" customHeight="1" thickBot="1">
      <c r="A12" s="99">
        <v>10</v>
      </c>
      <c r="B12" s="100"/>
      <c r="C12" s="100"/>
      <c r="D12" s="165"/>
      <c r="E12" s="100"/>
      <c r="F12" s="100" t="s">
        <v>227</v>
      </c>
      <c r="G12" s="100" t="s">
        <v>227</v>
      </c>
      <c r="H12" s="100" t="s">
        <v>228</v>
      </c>
      <c r="I12" s="100"/>
      <c r="J12" s="100"/>
      <c r="K12" s="97"/>
    </row>
    <row r="13" spans="1:11" s="79" customFormat="1" ht="24.95" customHeight="1" thickBot="1">
      <c r="A13" s="99">
        <v>11</v>
      </c>
      <c r="B13" s="100"/>
      <c r="C13" s="100"/>
      <c r="D13" s="165"/>
      <c r="E13" s="100"/>
      <c r="F13" s="100" t="s">
        <v>227</v>
      </c>
      <c r="G13" s="100" t="s">
        <v>227</v>
      </c>
      <c r="H13" s="100" t="s">
        <v>228</v>
      </c>
      <c r="I13" s="100"/>
      <c r="J13" s="100"/>
      <c r="K13" s="97"/>
    </row>
    <row r="14" spans="1:11" s="79" customFormat="1" ht="24.95" customHeight="1" thickBot="1">
      <c r="A14" s="99">
        <v>12</v>
      </c>
      <c r="B14" s="100"/>
      <c r="C14" s="100"/>
      <c r="D14" s="165"/>
      <c r="E14" s="100"/>
      <c r="F14" s="100" t="s">
        <v>227</v>
      </c>
      <c r="G14" s="100" t="s">
        <v>227</v>
      </c>
      <c r="H14" s="100" t="s">
        <v>228</v>
      </c>
      <c r="I14" s="100"/>
      <c r="J14" s="100"/>
      <c r="K14" s="97"/>
    </row>
    <row r="15" spans="1:11" s="79" customFormat="1" ht="24.95" customHeight="1" thickBot="1">
      <c r="A15" s="99">
        <v>13</v>
      </c>
      <c r="B15" s="100"/>
      <c r="C15" s="100"/>
      <c r="D15" s="165"/>
      <c r="E15" s="100"/>
      <c r="F15" s="100" t="s">
        <v>227</v>
      </c>
      <c r="G15" s="100" t="s">
        <v>227</v>
      </c>
      <c r="H15" s="100" t="s">
        <v>228</v>
      </c>
      <c r="I15" s="100"/>
      <c r="J15" s="100"/>
      <c r="K15" s="97"/>
    </row>
    <row r="16" spans="1:11" s="79" customFormat="1" ht="24.95" customHeight="1" thickBot="1">
      <c r="A16" s="99">
        <v>14</v>
      </c>
      <c r="B16" s="100"/>
      <c r="C16" s="100"/>
      <c r="D16" s="165"/>
      <c r="E16" s="100"/>
      <c r="F16" s="100" t="s">
        <v>227</v>
      </c>
      <c r="G16" s="100" t="s">
        <v>227</v>
      </c>
      <c r="H16" s="100" t="s">
        <v>228</v>
      </c>
      <c r="I16" s="100"/>
      <c r="J16" s="100"/>
      <c r="K16" s="97"/>
    </row>
    <row r="17" spans="1:11" s="79" customFormat="1" ht="24.95" customHeight="1" thickBot="1">
      <c r="A17" s="99">
        <v>15</v>
      </c>
      <c r="B17" s="100"/>
      <c r="C17" s="100"/>
      <c r="D17" s="165"/>
      <c r="E17" s="100"/>
      <c r="F17" s="100" t="s">
        <v>227</v>
      </c>
      <c r="G17" s="100" t="s">
        <v>227</v>
      </c>
      <c r="H17" s="100" t="s">
        <v>228</v>
      </c>
      <c r="I17" s="100"/>
      <c r="J17" s="100"/>
      <c r="K17" s="97"/>
    </row>
    <row r="18" spans="1:11" s="79" customFormat="1" ht="24.95" customHeight="1" thickBot="1">
      <c r="A18" s="99">
        <v>16</v>
      </c>
      <c r="B18" s="100"/>
      <c r="C18" s="100"/>
      <c r="D18" s="165"/>
      <c r="E18" s="100"/>
      <c r="F18" s="100" t="s">
        <v>227</v>
      </c>
      <c r="G18" s="100" t="s">
        <v>227</v>
      </c>
      <c r="H18" s="100" t="s">
        <v>228</v>
      </c>
      <c r="I18" s="100"/>
      <c r="J18" s="100"/>
      <c r="K18" s="97"/>
    </row>
    <row r="19" spans="1:11" s="79" customFormat="1" ht="24.95" customHeight="1" thickBot="1">
      <c r="A19" s="99">
        <v>17</v>
      </c>
      <c r="B19" s="100"/>
      <c r="C19" s="100"/>
      <c r="D19" s="165"/>
      <c r="E19" s="100"/>
      <c r="F19" s="100" t="s">
        <v>227</v>
      </c>
      <c r="G19" s="100" t="s">
        <v>227</v>
      </c>
      <c r="H19" s="100" t="s">
        <v>228</v>
      </c>
      <c r="I19" s="100"/>
      <c r="J19" s="100"/>
      <c r="K19" s="97"/>
    </row>
    <row r="20" spans="1:11" s="79" customFormat="1" ht="24.95" customHeight="1" thickBot="1">
      <c r="A20" s="99">
        <v>18</v>
      </c>
      <c r="B20" s="100"/>
      <c r="C20" s="100"/>
      <c r="D20" s="165"/>
      <c r="E20" s="100"/>
      <c r="F20" s="100" t="s">
        <v>227</v>
      </c>
      <c r="G20" s="100" t="s">
        <v>227</v>
      </c>
      <c r="H20" s="100" t="s">
        <v>228</v>
      </c>
      <c r="I20" s="100"/>
      <c r="J20" s="100"/>
      <c r="K20" s="97"/>
    </row>
    <row r="21" spans="1:11" s="79" customFormat="1" ht="24.95" customHeight="1" thickBot="1">
      <c r="A21" s="99">
        <v>19</v>
      </c>
      <c r="B21" s="100"/>
      <c r="C21" s="100"/>
      <c r="D21" s="165"/>
      <c r="E21" s="100"/>
      <c r="F21" s="100" t="s">
        <v>227</v>
      </c>
      <c r="G21" s="100" t="s">
        <v>227</v>
      </c>
      <c r="H21" s="100" t="s">
        <v>228</v>
      </c>
      <c r="I21" s="100"/>
      <c r="J21" s="100"/>
      <c r="K21" s="97"/>
    </row>
    <row r="22" spans="1:11" s="79" customFormat="1" ht="24.95" customHeight="1" thickBot="1">
      <c r="A22" s="99">
        <v>20</v>
      </c>
      <c r="B22" s="100"/>
      <c r="C22" s="100"/>
      <c r="D22" s="165"/>
      <c r="E22" s="100"/>
      <c r="F22" s="100" t="s">
        <v>227</v>
      </c>
      <c r="G22" s="100" t="s">
        <v>227</v>
      </c>
      <c r="H22" s="100" t="s">
        <v>228</v>
      </c>
      <c r="I22" s="100"/>
      <c r="J22" s="100"/>
      <c r="K22" s="97"/>
    </row>
    <row r="23" spans="1:11" s="79" customFormat="1" ht="24.95" customHeight="1" thickBot="1">
      <c r="A23" s="99">
        <v>21</v>
      </c>
      <c r="B23" s="100"/>
      <c r="C23" s="100"/>
      <c r="D23" s="165"/>
      <c r="E23" s="100"/>
      <c r="F23" s="100" t="s">
        <v>227</v>
      </c>
      <c r="G23" s="100" t="s">
        <v>227</v>
      </c>
      <c r="H23" s="100" t="s">
        <v>228</v>
      </c>
      <c r="I23" s="100"/>
      <c r="J23" s="100"/>
      <c r="K23" s="97"/>
    </row>
    <row r="24" spans="1:11" s="79" customFormat="1" ht="24.95" customHeight="1" thickBot="1">
      <c r="A24" s="99">
        <v>22</v>
      </c>
      <c r="B24" s="100"/>
      <c r="C24" s="100"/>
      <c r="D24" s="165"/>
      <c r="E24" s="100"/>
      <c r="F24" s="100" t="s">
        <v>227</v>
      </c>
      <c r="G24" s="100" t="s">
        <v>227</v>
      </c>
      <c r="H24" s="100" t="s">
        <v>228</v>
      </c>
      <c r="I24" s="100"/>
      <c r="J24" s="100"/>
      <c r="K24" s="97"/>
    </row>
    <row r="25" spans="1:11" s="79" customFormat="1" ht="24.95" customHeight="1" thickBot="1">
      <c r="A25" s="99">
        <v>23</v>
      </c>
      <c r="B25" s="100"/>
      <c r="C25" s="100"/>
      <c r="D25" s="165"/>
      <c r="E25" s="100"/>
      <c r="F25" s="100" t="s">
        <v>227</v>
      </c>
      <c r="G25" s="100" t="s">
        <v>227</v>
      </c>
      <c r="H25" s="100" t="s">
        <v>228</v>
      </c>
      <c r="I25" s="100"/>
      <c r="J25" s="100"/>
      <c r="K25" s="97"/>
    </row>
    <row r="26" spans="1:11" s="79" customFormat="1" ht="24.95" customHeight="1" thickBot="1">
      <c r="A26" s="99">
        <v>24</v>
      </c>
      <c r="B26" s="100"/>
      <c r="C26" s="100"/>
      <c r="D26" s="165"/>
      <c r="E26" s="100"/>
      <c r="F26" s="100" t="s">
        <v>227</v>
      </c>
      <c r="G26" s="100" t="s">
        <v>227</v>
      </c>
      <c r="H26" s="100" t="s">
        <v>228</v>
      </c>
      <c r="I26" s="100"/>
      <c r="J26" s="100"/>
      <c r="K26" s="97"/>
    </row>
    <row r="27" spans="1:11" s="79" customFormat="1" ht="24.95" customHeight="1" thickBot="1">
      <c r="A27" s="99">
        <v>25</v>
      </c>
      <c r="B27" s="100"/>
      <c r="C27" s="100"/>
      <c r="D27" s="165"/>
      <c r="E27" s="100"/>
      <c r="F27" s="100" t="s">
        <v>227</v>
      </c>
      <c r="G27" s="100" t="s">
        <v>227</v>
      </c>
      <c r="H27" s="100" t="s">
        <v>228</v>
      </c>
      <c r="I27" s="100"/>
      <c r="J27" s="100"/>
      <c r="K27" s="97"/>
    </row>
    <row r="28" spans="1:11" ht="24.95" customHeight="1" thickBot="1">
      <c r="A28" s="98">
        <v>26</v>
      </c>
      <c r="B28" s="101"/>
      <c r="C28" s="101"/>
      <c r="D28" s="166"/>
      <c r="E28" s="101"/>
      <c r="F28" s="101" t="s">
        <v>227</v>
      </c>
      <c r="G28" s="101" t="s">
        <v>227</v>
      </c>
      <c r="H28" s="100" t="s">
        <v>228</v>
      </c>
      <c r="I28" s="101"/>
      <c r="J28" s="101"/>
      <c r="K28" s="96"/>
    </row>
    <row r="29" spans="1:11" ht="26.25" customHeight="1" thickBot="1">
      <c r="A29" s="98">
        <v>27</v>
      </c>
      <c r="B29" s="101"/>
      <c r="C29" s="101"/>
      <c r="D29" s="101"/>
      <c r="E29" s="101"/>
      <c r="F29" s="101"/>
      <c r="G29" s="101"/>
      <c r="H29" s="101"/>
      <c r="I29" s="101"/>
      <c r="J29" s="101"/>
      <c r="K29" s="96"/>
    </row>
    <row r="30" spans="1:11" ht="24.75" customHeight="1" thickBot="1">
      <c r="A30" s="99">
        <v>28</v>
      </c>
      <c r="B30" s="100"/>
      <c r="C30" s="100"/>
      <c r="D30" s="165"/>
      <c r="E30" s="100"/>
      <c r="F30" s="100" t="s">
        <v>227</v>
      </c>
      <c r="G30" s="100" t="s">
        <v>227</v>
      </c>
      <c r="H30" s="100" t="s">
        <v>228</v>
      </c>
      <c r="I30" s="100"/>
      <c r="J30" s="100"/>
    </row>
    <row r="31" spans="1:11" ht="29.25" customHeight="1" thickBot="1">
      <c r="A31" s="99">
        <v>29</v>
      </c>
      <c r="B31" s="100"/>
      <c r="C31" s="100"/>
      <c r="D31" s="165"/>
      <c r="E31" s="100"/>
      <c r="F31" s="100" t="s">
        <v>227</v>
      </c>
      <c r="G31" s="100" t="s">
        <v>227</v>
      </c>
      <c r="H31" s="100" t="s">
        <v>228</v>
      </c>
      <c r="I31" s="100"/>
      <c r="J31" s="100"/>
    </row>
    <row r="32" spans="1:11" ht="30" customHeight="1" thickBot="1">
      <c r="A32" s="99">
        <v>30</v>
      </c>
      <c r="B32" s="100"/>
      <c r="C32" s="100"/>
      <c r="D32" s="165"/>
      <c r="E32" s="100"/>
      <c r="F32" s="100" t="s">
        <v>227</v>
      </c>
      <c r="G32" s="100" t="s">
        <v>227</v>
      </c>
      <c r="H32" s="100" t="s">
        <v>228</v>
      </c>
      <c r="I32" s="100"/>
      <c r="J32" s="100"/>
    </row>
    <row r="33" spans="1:10" ht="24.75" customHeight="1" thickBot="1">
      <c r="A33" s="99">
        <v>31</v>
      </c>
      <c r="B33" s="100"/>
      <c r="C33" s="100"/>
      <c r="D33" s="165"/>
      <c r="E33" s="100"/>
      <c r="F33" s="100" t="s">
        <v>227</v>
      </c>
      <c r="G33" s="100" t="s">
        <v>227</v>
      </c>
      <c r="H33" s="100" t="s">
        <v>228</v>
      </c>
      <c r="I33" s="100"/>
      <c r="J33" s="100"/>
    </row>
    <row r="34" spans="1:10" ht="27.75" customHeight="1" thickBot="1">
      <c r="A34" s="98">
        <v>32</v>
      </c>
      <c r="B34" s="101"/>
      <c r="C34" s="101"/>
      <c r="D34" s="166"/>
      <c r="E34" s="101"/>
      <c r="F34" s="101" t="s">
        <v>227</v>
      </c>
      <c r="G34" s="101" t="s">
        <v>227</v>
      </c>
      <c r="H34" s="100" t="s">
        <v>228</v>
      </c>
      <c r="I34" s="101"/>
      <c r="J34" s="101"/>
    </row>
    <row r="35" spans="1:10" ht="22.5" customHeight="1" thickBot="1">
      <c r="A35" s="99">
        <v>33</v>
      </c>
      <c r="B35" s="100"/>
      <c r="C35" s="100"/>
      <c r="D35" s="165"/>
      <c r="E35" s="100"/>
      <c r="F35" s="100" t="s">
        <v>227</v>
      </c>
      <c r="G35" s="100" t="s">
        <v>227</v>
      </c>
      <c r="H35" s="100" t="s">
        <v>228</v>
      </c>
      <c r="I35" s="100"/>
      <c r="J35" s="100"/>
    </row>
    <row r="36" spans="1:10" ht="24.75" customHeight="1" thickBot="1">
      <c r="A36" s="99">
        <v>34</v>
      </c>
      <c r="B36" s="100"/>
      <c r="C36" s="100"/>
      <c r="D36" s="165"/>
      <c r="E36" s="100"/>
      <c r="F36" s="100" t="s">
        <v>227</v>
      </c>
      <c r="G36" s="100" t="s">
        <v>227</v>
      </c>
      <c r="H36" s="100" t="s">
        <v>228</v>
      </c>
      <c r="I36" s="100"/>
      <c r="J36" s="100"/>
    </row>
    <row r="37" spans="1:10" ht="23.25" customHeight="1" thickBot="1">
      <c r="A37" s="99">
        <v>35</v>
      </c>
      <c r="B37" s="100"/>
      <c r="C37" s="100"/>
      <c r="D37" s="165"/>
      <c r="E37" s="100"/>
      <c r="F37" s="100" t="s">
        <v>227</v>
      </c>
      <c r="G37" s="100" t="s">
        <v>227</v>
      </c>
      <c r="H37" s="100" t="s">
        <v>228</v>
      </c>
      <c r="I37" s="100"/>
      <c r="J37" s="100"/>
    </row>
    <row r="38" spans="1:10" ht="27" customHeight="1" thickBot="1">
      <c r="A38" s="99">
        <v>36</v>
      </c>
      <c r="B38" s="100"/>
      <c r="C38" s="100"/>
      <c r="D38" s="165"/>
      <c r="E38" s="100"/>
      <c r="F38" s="100" t="s">
        <v>227</v>
      </c>
      <c r="G38" s="100" t="s">
        <v>227</v>
      </c>
      <c r="H38" s="100" t="s">
        <v>228</v>
      </c>
      <c r="I38" s="100"/>
      <c r="J38" s="100"/>
    </row>
    <row r="39" spans="1:10" ht="30" customHeight="1" thickBot="1">
      <c r="A39" s="98">
        <v>37</v>
      </c>
      <c r="B39" s="101"/>
      <c r="C39" s="101"/>
      <c r="D39" s="166"/>
      <c r="E39" s="101"/>
      <c r="F39" s="101" t="s">
        <v>227</v>
      </c>
      <c r="G39" s="101" t="s">
        <v>227</v>
      </c>
      <c r="H39" s="100" t="s">
        <v>228</v>
      </c>
      <c r="I39" s="101"/>
      <c r="J39" s="101"/>
    </row>
    <row r="40" spans="1:10" ht="28.5" customHeight="1" thickBot="1">
      <c r="A40" s="99">
        <v>38</v>
      </c>
      <c r="B40" s="100"/>
      <c r="C40" s="100"/>
      <c r="D40" s="165"/>
      <c r="E40" s="100"/>
      <c r="F40" s="100" t="s">
        <v>227</v>
      </c>
      <c r="G40" s="100" t="s">
        <v>227</v>
      </c>
      <c r="H40" s="100" t="s">
        <v>228</v>
      </c>
      <c r="I40" s="100"/>
      <c r="J40" s="100"/>
    </row>
    <row r="41" spans="1:10" ht="30" customHeight="1" thickBot="1">
      <c r="A41" s="99">
        <v>39</v>
      </c>
      <c r="B41" s="100"/>
      <c r="C41" s="100"/>
      <c r="D41" s="165"/>
      <c r="E41" s="100"/>
      <c r="F41" s="100" t="s">
        <v>227</v>
      </c>
      <c r="G41" s="100" t="s">
        <v>227</v>
      </c>
      <c r="H41" s="100" t="s">
        <v>228</v>
      </c>
      <c r="I41" s="100"/>
      <c r="J41" s="100"/>
    </row>
    <row r="42" spans="1:10" ht="28.5" customHeight="1" thickBot="1">
      <c r="A42" s="98">
        <v>40</v>
      </c>
      <c r="B42" s="101"/>
      <c r="C42" s="101"/>
      <c r="D42" s="166"/>
      <c r="E42" s="101"/>
      <c r="F42" s="101" t="s">
        <v>227</v>
      </c>
      <c r="G42" s="101" t="s">
        <v>227</v>
      </c>
      <c r="H42" s="100" t="s">
        <v>228</v>
      </c>
      <c r="I42" s="101"/>
      <c r="J42" s="101"/>
    </row>
  </sheetData>
  <mergeCells count="1">
    <mergeCell ref="A1:J1"/>
  </mergeCells>
  <phoneticPr fontId="3" type="noConversion"/>
  <printOptions horizontalCentered="1"/>
  <pageMargins left="0.23622047244094491" right="0.23622047244094491" top="0.74803149606299213" bottom="0.74803149606299213" header="0.31496062992125978" footer="0.31496062992125978"/>
  <pageSetup paperSize="9" scale="6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6"/>
  <sheetViews>
    <sheetView showGridLines="0" zoomScaleNormal="100" workbookViewId="0">
      <selection activeCell="F5" sqref="F5"/>
    </sheetView>
  </sheetViews>
  <sheetFormatPr defaultRowHeight="16.5"/>
  <cols>
    <col min="1" max="1" width="5.875" style="149" bestFit="1" customWidth="1"/>
    <col min="2" max="2" width="8.75" style="149" bestFit="1" customWidth="1"/>
    <col min="3" max="3" width="17.375" style="149" customWidth="1"/>
    <col min="4" max="4" width="38.25" style="149" customWidth="1"/>
    <col min="5" max="5" width="24.375" style="149" customWidth="1"/>
    <col min="6" max="6" width="48.875" style="149" customWidth="1"/>
    <col min="7" max="7" width="22.5" style="149" customWidth="1"/>
    <col min="8" max="8" width="24.75" style="149" customWidth="1"/>
    <col min="9" max="9" width="0.375" style="149" hidden="1" customWidth="1"/>
    <col min="10" max="10" width="9" style="149" hidden="1" customWidth="1"/>
    <col min="11" max="11" width="33.875" style="149" customWidth="1"/>
    <col min="12" max="13" width="15.625" style="149" customWidth="1"/>
  </cols>
  <sheetData>
    <row r="1" spans="2:11" ht="55.5" customHeight="1">
      <c r="B1" s="167"/>
      <c r="C1" s="206" t="s">
        <v>229</v>
      </c>
      <c r="D1" s="207"/>
      <c r="E1" s="207"/>
      <c r="F1" s="207"/>
      <c r="G1" s="207"/>
      <c r="H1" s="207"/>
      <c r="I1" s="207"/>
      <c r="J1" s="207"/>
      <c r="K1" s="208"/>
    </row>
    <row r="2" spans="2:11" ht="36.6" customHeight="1">
      <c r="B2" s="167"/>
      <c r="C2" s="168" t="s">
        <v>230</v>
      </c>
      <c r="D2" s="168" t="s">
        <v>11</v>
      </c>
      <c r="E2" s="168" t="s">
        <v>231</v>
      </c>
      <c r="F2" s="168" t="s">
        <v>232</v>
      </c>
      <c r="G2" s="168" t="s">
        <v>233</v>
      </c>
      <c r="H2" s="168" t="s">
        <v>234</v>
      </c>
      <c r="I2" s="168" t="s">
        <v>8</v>
      </c>
      <c r="J2" s="168"/>
      <c r="K2" s="168" t="s">
        <v>235</v>
      </c>
    </row>
    <row r="3" spans="2:11" ht="38.25" customHeight="1">
      <c r="B3" s="167"/>
      <c r="C3" s="168" t="s">
        <v>236</v>
      </c>
      <c r="D3" s="168" t="s">
        <v>237</v>
      </c>
      <c r="E3" s="169">
        <v>748000</v>
      </c>
      <c r="F3" s="168" t="s">
        <v>238</v>
      </c>
      <c r="G3" s="169">
        <v>7000</v>
      </c>
      <c r="H3" s="169">
        <v>11000</v>
      </c>
      <c r="I3" s="168"/>
      <c r="J3" s="168"/>
      <c r="K3" s="168" t="s">
        <v>239</v>
      </c>
    </row>
    <row r="4" spans="2:11" ht="243" customHeight="1">
      <c r="B4" s="167"/>
      <c r="C4" s="168" t="s">
        <v>236</v>
      </c>
      <c r="D4" s="168" t="s">
        <v>240</v>
      </c>
      <c r="E4" s="169">
        <v>798000</v>
      </c>
      <c r="F4" s="168" t="s">
        <v>241</v>
      </c>
      <c r="G4" s="169">
        <v>8000</v>
      </c>
      <c r="H4" s="169">
        <v>12000</v>
      </c>
      <c r="I4" s="168"/>
      <c r="J4" s="168"/>
      <c r="K4" s="168" t="s">
        <v>242</v>
      </c>
    </row>
    <row r="5" spans="2:11" ht="198.75" customHeight="1">
      <c r="B5" s="167"/>
      <c r="C5" s="168" t="s">
        <v>236</v>
      </c>
      <c r="D5" s="168" t="s">
        <v>243</v>
      </c>
      <c r="E5" s="169">
        <v>938000</v>
      </c>
      <c r="F5" s="168" t="s">
        <v>244</v>
      </c>
      <c r="G5" s="169">
        <v>9000</v>
      </c>
      <c r="H5" s="169">
        <v>14000</v>
      </c>
      <c r="I5" s="168"/>
      <c r="J5" s="168"/>
      <c r="K5" s="168" t="s">
        <v>245</v>
      </c>
    </row>
    <row r="6" spans="2:11" ht="147" customHeight="1">
      <c r="B6" s="167"/>
      <c r="C6" s="168" t="s">
        <v>236</v>
      </c>
      <c r="D6" s="168" t="s">
        <v>246</v>
      </c>
      <c r="E6" s="169">
        <v>1148000</v>
      </c>
      <c r="F6" s="168" t="s">
        <v>247</v>
      </c>
      <c r="G6" s="169">
        <v>11000</v>
      </c>
      <c r="H6" s="169">
        <v>17000</v>
      </c>
      <c r="I6" s="168"/>
      <c r="J6" s="168"/>
      <c r="K6" s="168" t="s">
        <v>248</v>
      </c>
    </row>
    <row r="7" spans="2:11" ht="177" customHeight="1">
      <c r="B7" s="167"/>
      <c r="C7" s="168" t="s">
        <v>236</v>
      </c>
      <c r="D7" s="168" t="s">
        <v>249</v>
      </c>
      <c r="E7" s="169">
        <v>1198000</v>
      </c>
      <c r="F7" s="168" t="s">
        <v>250</v>
      </c>
      <c r="G7" s="169">
        <v>12000</v>
      </c>
      <c r="H7" s="169">
        <v>18000</v>
      </c>
      <c r="I7" s="168"/>
      <c r="J7" s="168"/>
      <c r="K7" s="168" t="s">
        <v>251</v>
      </c>
    </row>
    <row r="8" spans="2:11" ht="209.25" customHeight="1">
      <c r="B8" s="167"/>
      <c r="C8" s="168" t="s">
        <v>236</v>
      </c>
      <c r="D8" s="168" t="s">
        <v>252</v>
      </c>
      <c r="E8" s="169">
        <v>1298000</v>
      </c>
      <c r="F8" s="168" t="s">
        <v>253</v>
      </c>
      <c r="G8" s="169">
        <v>13000</v>
      </c>
      <c r="H8" s="169">
        <v>19000</v>
      </c>
      <c r="I8" s="168"/>
      <c r="J8" s="168"/>
      <c r="K8" s="168" t="s">
        <v>254</v>
      </c>
    </row>
    <row r="9" spans="2:11" ht="168" customHeight="1">
      <c r="B9" s="167"/>
      <c r="C9" s="168" t="s">
        <v>236</v>
      </c>
      <c r="D9" s="168" t="s">
        <v>255</v>
      </c>
      <c r="E9" s="169">
        <v>1328000</v>
      </c>
      <c r="F9" s="168" t="s">
        <v>256</v>
      </c>
      <c r="G9" s="169">
        <v>13000</v>
      </c>
      <c r="H9" s="169">
        <v>19000</v>
      </c>
      <c r="I9" s="168"/>
      <c r="J9" s="168"/>
      <c r="K9" s="168" t="s">
        <v>254</v>
      </c>
    </row>
    <row r="10" spans="2:11" ht="212.25" customHeight="1">
      <c r="B10" s="167"/>
      <c r="C10" s="168" t="s">
        <v>236</v>
      </c>
      <c r="D10" s="168" t="s">
        <v>257</v>
      </c>
      <c r="E10" s="169">
        <v>1368000</v>
      </c>
      <c r="F10" s="168" t="s">
        <v>258</v>
      </c>
      <c r="G10" s="169">
        <v>14000</v>
      </c>
      <c r="H10" s="169">
        <v>21000</v>
      </c>
      <c r="I10" s="168"/>
      <c r="J10" s="168"/>
      <c r="K10" s="168" t="s">
        <v>259</v>
      </c>
    </row>
    <row r="11" spans="2:11" ht="234" customHeight="1">
      <c r="B11" s="167"/>
      <c r="C11" s="168" t="s">
        <v>236</v>
      </c>
      <c r="D11" s="168" t="s">
        <v>260</v>
      </c>
      <c r="E11" s="169">
        <v>1548000</v>
      </c>
      <c r="F11" s="168" t="s">
        <v>261</v>
      </c>
      <c r="G11" s="169">
        <v>15000</v>
      </c>
      <c r="H11" s="169">
        <v>23000</v>
      </c>
      <c r="I11" s="168"/>
      <c r="J11" s="168"/>
      <c r="K11" s="168" t="s">
        <v>262</v>
      </c>
    </row>
    <row r="12" spans="2:11" ht="36.6" customHeight="1">
      <c r="C12" s="135"/>
      <c r="D12" s="136"/>
      <c r="E12" s="137"/>
      <c r="F12" s="138"/>
      <c r="G12" s="139"/>
      <c r="H12" s="137"/>
      <c r="I12" s="140"/>
      <c r="J12" s="134"/>
      <c r="K12" s="137"/>
    </row>
    <row r="13" spans="2:11" ht="36.6" customHeight="1">
      <c r="C13" s="10"/>
      <c r="D13" s="11"/>
      <c r="E13" s="8"/>
      <c r="F13" s="133"/>
      <c r="G13" s="8"/>
      <c r="H13" s="8"/>
      <c r="I13" s="132"/>
      <c r="J13" s="134"/>
      <c r="K13" s="132"/>
    </row>
    <row r="14" spans="2:11" ht="36.6" customHeight="1">
      <c r="C14" s="10"/>
      <c r="D14" s="11"/>
      <c r="E14" s="13"/>
      <c r="F14" s="133"/>
      <c r="G14" s="8"/>
      <c r="H14" s="8"/>
      <c r="I14" s="32"/>
      <c r="K14" s="32"/>
    </row>
    <row r="15" spans="2:11" ht="36.6" customHeight="1">
      <c r="C15" s="10"/>
      <c r="D15" s="11"/>
      <c r="E15" s="13"/>
      <c r="F15" s="132"/>
      <c r="G15" s="8"/>
      <c r="H15" s="8"/>
      <c r="I15" s="32"/>
      <c r="K15" s="32"/>
    </row>
    <row r="16" spans="2:11" ht="36.6" customHeight="1"/>
    <row r="17" ht="36.6" customHeight="1"/>
    <row r="18" ht="36.6" customHeight="1"/>
    <row r="19" ht="36.6" customHeight="1"/>
    <row r="20" ht="36.6" customHeight="1"/>
    <row r="21" ht="36.6" customHeight="1"/>
    <row r="22" ht="30" customHeight="1"/>
    <row r="23" ht="36.6" customHeight="1"/>
    <row r="24" ht="36.6" customHeight="1"/>
    <row r="25" ht="36.6" customHeight="1"/>
    <row r="26" ht="36.6" customHeight="1"/>
    <row r="27" ht="36.6" customHeight="1"/>
    <row r="28" ht="36.6" customHeight="1"/>
    <row r="29" ht="36.6" customHeight="1"/>
    <row r="30" ht="36.6" customHeight="1"/>
    <row r="31" ht="36.6" customHeight="1"/>
    <row r="32" ht="36.6" customHeight="1"/>
    <row r="33" ht="36.6" customHeight="1"/>
    <row r="34" ht="36.6" customHeight="1"/>
    <row r="35" ht="36.6" customHeight="1"/>
    <row r="36" ht="36.6" customHeight="1"/>
    <row r="37" ht="36.6" customHeight="1"/>
    <row r="38" ht="36.6" customHeight="1"/>
    <row r="39" ht="36.6" customHeight="1"/>
    <row r="40" ht="36.6" customHeight="1"/>
    <row r="41" ht="36.6" customHeight="1"/>
    <row r="42" ht="36.6" customHeight="1"/>
    <row r="66" spans="7:15">
      <c r="G66" s="206" t="s">
        <v>229</v>
      </c>
      <c r="H66" s="207"/>
      <c r="I66" s="207"/>
      <c r="J66" s="207"/>
      <c r="K66" s="207"/>
      <c r="L66" s="207"/>
      <c r="M66" s="207"/>
      <c r="N66" s="207"/>
      <c r="O66" s="208"/>
    </row>
  </sheetData>
  <mergeCells count="2">
    <mergeCell ref="C1:K1"/>
    <mergeCell ref="G66:O66"/>
  </mergeCells>
  <phoneticPr fontId="3" type="noConversion"/>
  <pageMargins left="0" right="0" top="0" bottom="0" header="0" footer="0"/>
  <pageSetup paperSize="9" scale="48" orientation="portrait"/>
  <headerFooter>
    <oddHeader>&amp;C&amp;20 杰運-零用金支出明細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1"/>
  <sheetViews>
    <sheetView view="pageBreakPreview" zoomScale="60" zoomScaleNormal="100" workbookViewId="0">
      <selection activeCell="J17" sqref="J17"/>
    </sheetView>
  </sheetViews>
  <sheetFormatPr defaultRowHeight="27.75"/>
  <cols>
    <col min="1" max="1" width="1.5" style="70" customWidth="1"/>
    <col min="2" max="2" width="8.75" style="70" bestFit="1" customWidth="1"/>
    <col min="3" max="3" width="15.625" style="70" customWidth="1"/>
    <col min="4" max="4" width="22.5" style="70" customWidth="1"/>
    <col min="5" max="5" width="4.125" style="70" customWidth="1"/>
    <col min="6" max="6" width="9" style="70" customWidth="1"/>
    <col min="7" max="7" width="15.625" style="70" customWidth="1"/>
    <col min="8" max="8" width="25.75" style="70" customWidth="1"/>
    <col min="9" max="12" width="9" style="70" customWidth="1"/>
    <col min="13" max="16384" width="9" style="70"/>
  </cols>
  <sheetData>
    <row r="1" spans="2:8" ht="28.5" customHeight="1" thickBot="1">
      <c r="B1" s="210" t="s">
        <v>263</v>
      </c>
      <c r="C1" s="181"/>
      <c r="D1" s="182"/>
      <c r="F1" s="210" t="s">
        <v>263</v>
      </c>
      <c r="G1" s="181"/>
      <c r="H1" s="182"/>
    </row>
    <row r="2" spans="2:8" ht="28.5" customHeight="1" thickBot="1">
      <c r="B2" s="65" t="s">
        <v>186</v>
      </c>
      <c r="C2" s="66"/>
      <c r="D2" s="68" t="s">
        <v>264</v>
      </c>
      <c r="F2" s="65" t="s">
        <v>186</v>
      </c>
      <c r="G2" s="66"/>
      <c r="H2" s="68" t="s">
        <v>264</v>
      </c>
    </row>
    <row r="3" spans="2:8" ht="28.5" customHeight="1" thickBot="1">
      <c r="B3" s="65" t="s">
        <v>20</v>
      </c>
      <c r="C3" s="209"/>
      <c r="D3" s="182"/>
      <c r="F3" s="65" t="s">
        <v>20</v>
      </c>
      <c r="G3" s="209"/>
      <c r="H3" s="182"/>
    </row>
    <row r="4" spans="2:8" ht="28.5" customHeight="1" thickBot="1">
      <c r="B4" s="65" t="s">
        <v>11</v>
      </c>
      <c r="C4" s="147"/>
      <c r="D4" s="88"/>
      <c r="F4" s="65" t="s">
        <v>11</v>
      </c>
      <c r="G4" s="147"/>
      <c r="H4" s="148"/>
    </row>
    <row r="5" spans="2:8" ht="28.5" customHeight="1" thickBot="1">
      <c r="B5" s="65" t="s">
        <v>265</v>
      </c>
      <c r="C5" s="147"/>
      <c r="D5" s="88" t="s">
        <v>266</v>
      </c>
      <c r="F5" s="65" t="s">
        <v>265</v>
      </c>
      <c r="G5" s="147"/>
      <c r="H5" s="88" t="s">
        <v>266</v>
      </c>
    </row>
    <row r="6" spans="2:8" ht="28.5" customHeight="1" thickBot="1">
      <c r="B6" s="65" t="s">
        <v>267</v>
      </c>
      <c r="C6" s="67"/>
      <c r="D6" s="69" t="s">
        <v>268</v>
      </c>
      <c r="F6" s="65" t="s">
        <v>267</v>
      </c>
      <c r="G6" s="67"/>
      <c r="H6" s="69" t="s">
        <v>268</v>
      </c>
    </row>
    <row r="7" spans="2:8" ht="28.5" customHeight="1" thickBot="1">
      <c r="B7" s="65" t="s">
        <v>29</v>
      </c>
      <c r="C7" s="67"/>
      <c r="D7" s="69" t="s">
        <v>269</v>
      </c>
      <c r="F7" s="65" t="s">
        <v>29</v>
      </c>
      <c r="G7" s="67"/>
      <c r="H7" s="69" t="s">
        <v>269</v>
      </c>
    </row>
    <row r="8" spans="2:8" ht="5.0999999999999996" customHeight="1" thickBot="1"/>
    <row r="9" spans="2:8" ht="28.5" customHeight="1" thickBot="1">
      <c r="B9" s="210" t="s">
        <v>263</v>
      </c>
      <c r="C9" s="181"/>
      <c r="D9" s="182"/>
      <c r="F9" s="210" t="s">
        <v>263</v>
      </c>
      <c r="G9" s="181"/>
      <c r="H9" s="182"/>
    </row>
    <row r="10" spans="2:8" ht="28.5" customHeight="1" thickBot="1">
      <c r="B10" s="65" t="s">
        <v>186</v>
      </c>
      <c r="C10" s="66"/>
      <c r="D10" s="68" t="s">
        <v>264</v>
      </c>
      <c r="F10" s="65" t="s">
        <v>186</v>
      </c>
      <c r="G10" s="66"/>
      <c r="H10" s="68" t="s">
        <v>264</v>
      </c>
    </row>
    <row r="11" spans="2:8" ht="28.5" customHeight="1" thickBot="1">
      <c r="B11" s="65" t="s">
        <v>20</v>
      </c>
      <c r="C11" s="209"/>
      <c r="D11" s="182"/>
      <c r="F11" s="65" t="s">
        <v>20</v>
      </c>
      <c r="G11" s="209"/>
      <c r="H11" s="182"/>
    </row>
    <row r="12" spans="2:8" ht="28.5" customHeight="1" thickBot="1">
      <c r="B12" s="65" t="s">
        <v>11</v>
      </c>
      <c r="C12" s="147"/>
      <c r="D12" s="148"/>
      <c r="F12" s="65" t="s">
        <v>11</v>
      </c>
      <c r="G12" s="147"/>
      <c r="H12" s="148"/>
    </row>
    <row r="13" spans="2:8" ht="28.5" customHeight="1" thickBot="1">
      <c r="B13" s="65" t="s">
        <v>265</v>
      </c>
      <c r="C13" s="147"/>
      <c r="D13" s="88" t="s">
        <v>266</v>
      </c>
      <c r="F13" s="65" t="s">
        <v>265</v>
      </c>
      <c r="G13" s="147"/>
      <c r="H13" s="148" t="s">
        <v>266</v>
      </c>
    </row>
    <row r="14" spans="2:8" ht="28.5" customHeight="1" thickBot="1">
      <c r="B14" s="65" t="s">
        <v>267</v>
      </c>
      <c r="C14" s="67"/>
      <c r="D14" s="69" t="s">
        <v>268</v>
      </c>
      <c r="F14" s="65" t="s">
        <v>267</v>
      </c>
      <c r="G14" s="67"/>
      <c r="H14" s="69" t="s">
        <v>268</v>
      </c>
    </row>
    <row r="15" spans="2:8" ht="28.5" customHeight="1" thickBot="1">
      <c r="B15" s="65" t="s">
        <v>29</v>
      </c>
      <c r="C15" s="67"/>
      <c r="D15" s="69" t="s">
        <v>269</v>
      </c>
      <c r="F15" s="65" t="s">
        <v>29</v>
      </c>
      <c r="G15" s="67"/>
      <c r="H15" s="69" t="s">
        <v>269</v>
      </c>
    </row>
    <row r="16" spans="2:8" ht="5.0999999999999996" customHeight="1" thickBot="1"/>
    <row r="17" spans="2:8" ht="28.5" customHeight="1" thickBot="1">
      <c r="B17" s="210" t="s">
        <v>263</v>
      </c>
      <c r="C17" s="181"/>
      <c r="D17" s="182"/>
      <c r="F17" s="210" t="s">
        <v>263</v>
      </c>
      <c r="G17" s="181"/>
      <c r="H17" s="182"/>
    </row>
    <row r="18" spans="2:8" ht="28.5" customHeight="1" thickBot="1">
      <c r="B18" s="65" t="s">
        <v>186</v>
      </c>
      <c r="C18" s="66"/>
      <c r="D18" s="68" t="s">
        <v>264</v>
      </c>
      <c r="F18" s="65" t="s">
        <v>186</v>
      </c>
      <c r="G18" s="66"/>
      <c r="H18" s="68" t="s">
        <v>264</v>
      </c>
    </row>
    <row r="19" spans="2:8" ht="28.5" customHeight="1" thickBot="1">
      <c r="B19" s="65" t="s">
        <v>20</v>
      </c>
      <c r="C19" s="209"/>
      <c r="D19" s="182"/>
      <c r="F19" s="65" t="s">
        <v>20</v>
      </c>
      <c r="G19" s="209"/>
      <c r="H19" s="182"/>
    </row>
    <row r="20" spans="2:8" ht="28.5" customHeight="1" thickBot="1">
      <c r="B20" s="65" t="s">
        <v>11</v>
      </c>
      <c r="C20" s="147"/>
      <c r="D20" s="88"/>
      <c r="F20" s="65" t="s">
        <v>11</v>
      </c>
      <c r="G20" s="147"/>
      <c r="H20" s="88"/>
    </row>
    <row r="21" spans="2:8" ht="28.5" customHeight="1" thickBot="1">
      <c r="B21" s="65" t="s">
        <v>265</v>
      </c>
      <c r="C21" s="147"/>
      <c r="D21" s="88" t="s">
        <v>266</v>
      </c>
      <c r="F21" s="65" t="s">
        <v>265</v>
      </c>
      <c r="G21" s="147"/>
      <c r="H21" s="88" t="s">
        <v>266</v>
      </c>
    </row>
    <row r="22" spans="2:8" ht="28.5" customHeight="1" thickBot="1">
      <c r="B22" s="65" t="s">
        <v>267</v>
      </c>
      <c r="C22" s="67"/>
      <c r="D22" s="69" t="s">
        <v>268</v>
      </c>
      <c r="F22" s="65" t="s">
        <v>267</v>
      </c>
      <c r="G22" s="67"/>
      <c r="H22" s="69" t="s">
        <v>268</v>
      </c>
    </row>
    <row r="23" spans="2:8" ht="28.5" customHeight="1" thickBot="1">
      <c r="B23" s="65" t="s">
        <v>29</v>
      </c>
      <c r="C23" s="67"/>
      <c r="D23" s="69" t="s">
        <v>269</v>
      </c>
      <c r="F23" s="65" t="s">
        <v>29</v>
      </c>
      <c r="G23" s="67"/>
      <c r="H23" s="69" t="s">
        <v>269</v>
      </c>
    </row>
    <row r="24" spans="2:8" ht="5.0999999999999996" customHeight="1" thickBot="1"/>
    <row r="25" spans="2:8" ht="28.5" customHeight="1" thickBot="1">
      <c r="B25" s="210" t="s">
        <v>263</v>
      </c>
      <c r="C25" s="181"/>
      <c r="D25" s="182"/>
      <c r="F25" s="210" t="s">
        <v>263</v>
      </c>
      <c r="G25" s="181"/>
      <c r="H25" s="182"/>
    </row>
    <row r="26" spans="2:8" ht="28.5" customHeight="1" thickBot="1">
      <c r="B26" s="65" t="s">
        <v>186</v>
      </c>
      <c r="C26" s="66"/>
      <c r="D26" s="68" t="s">
        <v>264</v>
      </c>
      <c r="F26" s="65" t="s">
        <v>186</v>
      </c>
      <c r="G26" s="66"/>
      <c r="H26" s="68" t="s">
        <v>264</v>
      </c>
    </row>
    <row r="27" spans="2:8" ht="28.5" customHeight="1" thickBot="1">
      <c r="B27" s="65" t="s">
        <v>20</v>
      </c>
      <c r="C27" s="209"/>
      <c r="D27" s="182"/>
      <c r="F27" s="65" t="s">
        <v>20</v>
      </c>
      <c r="G27" s="209"/>
      <c r="H27" s="182"/>
    </row>
    <row r="28" spans="2:8" ht="28.5" customHeight="1" thickBot="1">
      <c r="B28" s="65" t="s">
        <v>11</v>
      </c>
      <c r="C28" s="147"/>
      <c r="D28" s="88"/>
      <c r="F28" s="65" t="s">
        <v>11</v>
      </c>
      <c r="G28" s="147"/>
      <c r="H28" s="88"/>
    </row>
    <row r="29" spans="2:8" ht="28.5" customHeight="1" thickBot="1">
      <c r="B29" s="65" t="s">
        <v>265</v>
      </c>
      <c r="C29" s="147"/>
      <c r="D29" s="88" t="s">
        <v>266</v>
      </c>
      <c r="F29" s="65" t="s">
        <v>265</v>
      </c>
      <c r="G29" s="147"/>
      <c r="H29" s="88" t="s">
        <v>266</v>
      </c>
    </row>
    <row r="30" spans="2:8" ht="28.5" customHeight="1" thickBot="1">
      <c r="B30" s="65" t="s">
        <v>267</v>
      </c>
      <c r="C30" s="67"/>
      <c r="D30" s="69" t="s">
        <v>268</v>
      </c>
      <c r="F30" s="65" t="s">
        <v>267</v>
      </c>
      <c r="G30" s="67"/>
      <c r="H30" s="69" t="s">
        <v>268</v>
      </c>
    </row>
    <row r="31" spans="2:8" ht="42" customHeight="1" thickBot="1">
      <c r="B31" s="65" t="s">
        <v>29</v>
      </c>
      <c r="C31" s="67"/>
      <c r="D31" s="69" t="s">
        <v>269</v>
      </c>
      <c r="F31" s="65" t="s">
        <v>29</v>
      </c>
      <c r="G31" s="67"/>
      <c r="H31" s="69" t="s">
        <v>269</v>
      </c>
    </row>
  </sheetData>
  <mergeCells count="16">
    <mergeCell ref="C3:D3"/>
    <mergeCell ref="B1:D1"/>
    <mergeCell ref="C11:D11"/>
    <mergeCell ref="C27:D27"/>
    <mergeCell ref="G11:H11"/>
    <mergeCell ref="G27:H27"/>
    <mergeCell ref="G19:H19"/>
    <mergeCell ref="B9:D9"/>
    <mergeCell ref="B17:D17"/>
    <mergeCell ref="C19:D19"/>
    <mergeCell ref="F1:H1"/>
    <mergeCell ref="F17:H17"/>
    <mergeCell ref="F9:H9"/>
    <mergeCell ref="B25:D25"/>
    <mergeCell ref="G3:H3"/>
    <mergeCell ref="F25:H25"/>
  </mergeCells>
  <phoneticPr fontId="3" type="noConversion"/>
  <pageMargins left="0" right="0" top="0" bottom="0" header="0" footer="0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4"/>
  <sheetViews>
    <sheetView view="pageBreakPreview" zoomScaleNormal="100" zoomScaleSheetLayoutView="100" workbookViewId="0">
      <selection activeCell="D2" sqref="D2"/>
    </sheetView>
  </sheetViews>
  <sheetFormatPr defaultRowHeight="16.5"/>
  <cols>
    <col min="1" max="1" width="0.25" style="149" customWidth="1"/>
    <col min="2" max="2" width="9.375" style="149" customWidth="1"/>
    <col min="3" max="3" width="24.125" style="149" customWidth="1"/>
    <col min="4" max="4" width="14" style="149" customWidth="1"/>
    <col min="5" max="5" width="14.875" style="149" customWidth="1"/>
    <col min="6" max="6" width="15.625" style="149" customWidth="1"/>
    <col min="7" max="7" width="29" style="149" customWidth="1"/>
  </cols>
  <sheetData>
    <row r="1" spans="1:7" ht="43.5" customHeight="1">
      <c r="A1" s="211" t="s">
        <v>270</v>
      </c>
      <c r="B1" s="212"/>
      <c r="C1" s="212"/>
      <c r="D1" s="212"/>
      <c r="E1" s="212"/>
      <c r="F1" s="212"/>
      <c r="G1" s="213"/>
    </row>
    <row r="2" spans="1:7" ht="35.1" customHeight="1">
      <c r="A2" s="72" t="s">
        <v>271</v>
      </c>
      <c r="B2" s="92" t="s">
        <v>1</v>
      </c>
      <c r="C2" s="93" t="s">
        <v>272</v>
      </c>
      <c r="D2" s="92" t="s">
        <v>273</v>
      </c>
      <c r="E2" s="92" t="s">
        <v>188</v>
      </c>
      <c r="F2" s="92" t="s">
        <v>274</v>
      </c>
      <c r="G2" s="94" t="s">
        <v>275</v>
      </c>
    </row>
    <row r="3" spans="1:7" ht="38.1" customHeight="1">
      <c r="A3" s="77"/>
      <c r="B3" s="71"/>
      <c r="C3" s="71"/>
      <c r="D3" s="71"/>
      <c r="E3" s="71"/>
      <c r="F3" s="71"/>
      <c r="G3" s="73"/>
    </row>
    <row r="4" spans="1:7" ht="38.1" customHeight="1">
      <c r="A4" s="78"/>
      <c r="B4" s="64"/>
      <c r="C4" s="64"/>
      <c r="D4" s="64"/>
      <c r="E4" s="64"/>
      <c r="F4" s="64"/>
      <c r="G4" s="74"/>
    </row>
    <row r="5" spans="1:7" ht="38.1" customHeight="1">
      <c r="A5" s="77"/>
      <c r="B5" s="64"/>
      <c r="C5" s="64"/>
      <c r="D5" s="64"/>
      <c r="E5" s="64"/>
      <c r="F5" s="64"/>
      <c r="G5" s="74"/>
    </row>
    <row r="6" spans="1:7" ht="38.1" customHeight="1">
      <c r="A6" s="78"/>
      <c r="B6" s="64"/>
      <c r="C6" s="64"/>
      <c r="D6" s="64"/>
      <c r="E6" s="64"/>
      <c r="F6" s="64"/>
      <c r="G6" s="74"/>
    </row>
    <row r="7" spans="1:7" ht="38.1" customHeight="1">
      <c r="A7" s="77"/>
      <c r="B7" s="64"/>
      <c r="C7" s="64" t="s">
        <v>276</v>
      </c>
      <c r="D7" s="64"/>
      <c r="E7" s="64"/>
      <c r="F7" s="64"/>
      <c r="G7" s="74"/>
    </row>
    <row r="8" spans="1:7" ht="38.1" customHeight="1">
      <c r="A8" s="78"/>
      <c r="B8" s="64"/>
      <c r="C8" s="64"/>
      <c r="D8" s="64"/>
      <c r="E8" s="64"/>
      <c r="F8" s="64"/>
      <c r="G8" s="74"/>
    </row>
    <row r="9" spans="1:7" ht="38.1" customHeight="1">
      <c r="A9" s="77"/>
      <c r="B9" s="64"/>
      <c r="C9" s="64"/>
      <c r="D9" s="64"/>
      <c r="E9" s="64"/>
      <c r="F9" s="64"/>
      <c r="G9" s="74"/>
    </row>
    <row r="10" spans="1:7" ht="38.1" customHeight="1">
      <c r="A10" s="78"/>
      <c r="B10" s="64"/>
      <c r="C10" s="64"/>
      <c r="D10" s="64"/>
      <c r="E10" s="64"/>
      <c r="F10" s="64"/>
      <c r="G10" s="74"/>
    </row>
    <row r="11" spans="1:7" ht="38.1" customHeight="1">
      <c r="A11" s="77"/>
      <c r="B11" s="64"/>
      <c r="C11" s="64"/>
      <c r="D11" s="64"/>
      <c r="E11" s="64"/>
      <c r="F11" s="64"/>
      <c r="G11" s="74"/>
    </row>
    <row r="12" spans="1:7" ht="38.1" customHeight="1">
      <c r="A12" s="78"/>
      <c r="B12" s="64"/>
      <c r="C12" s="64"/>
      <c r="D12" s="64"/>
      <c r="E12" s="64"/>
      <c r="F12" s="64"/>
      <c r="G12" s="74"/>
    </row>
    <row r="13" spans="1:7" ht="38.1" customHeight="1">
      <c r="A13" s="77"/>
      <c r="B13" s="64"/>
      <c r="C13" s="64"/>
      <c r="D13" s="64"/>
      <c r="E13" s="64"/>
      <c r="F13" s="64"/>
      <c r="G13" s="74"/>
    </row>
    <row r="14" spans="1:7" ht="38.1" customHeight="1">
      <c r="A14" s="78"/>
      <c r="B14" s="64"/>
      <c r="C14" s="64"/>
      <c r="D14" s="64"/>
      <c r="E14" s="64"/>
      <c r="F14" s="64"/>
      <c r="G14" s="74"/>
    </row>
    <row r="15" spans="1:7" ht="38.1" customHeight="1">
      <c r="A15" s="77"/>
      <c r="B15" s="64"/>
      <c r="C15" s="64"/>
      <c r="D15" s="64"/>
      <c r="E15" s="64"/>
      <c r="F15" s="64"/>
      <c r="G15" s="74"/>
    </row>
    <row r="16" spans="1:7" ht="38.1" customHeight="1">
      <c r="A16" s="78"/>
      <c r="B16" s="64"/>
      <c r="C16" s="64"/>
      <c r="D16" s="64"/>
      <c r="E16" s="64"/>
      <c r="F16" s="64"/>
      <c r="G16" s="74"/>
    </row>
    <row r="17" spans="1:7" ht="38.1" customHeight="1">
      <c r="A17" s="77"/>
      <c r="B17" s="64"/>
      <c r="C17" s="64"/>
      <c r="D17" s="64"/>
      <c r="E17" s="64"/>
      <c r="F17" s="64"/>
      <c r="G17" s="74"/>
    </row>
    <row r="18" spans="1:7" ht="38.1" customHeight="1">
      <c r="A18" s="78"/>
      <c r="B18" s="64"/>
      <c r="C18" s="64"/>
      <c r="D18" s="64"/>
      <c r="E18" s="64"/>
      <c r="F18" s="64"/>
      <c r="G18" s="74"/>
    </row>
    <row r="19" spans="1:7" ht="38.1" customHeight="1">
      <c r="A19" s="77"/>
      <c r="B19" s="64"/>
      <c r="C19" s="64"/>
      <c r="D19" s="64"/>
      <c r="E19" s="64"/>
      <c r="F19" s="64"/>
      <c r="G19" s="74"/>
    </row>
    <row r="20" spans="1:7" ht="38.1" customHeight="1">
      <c r="A20" s="78"/>
      <c r="B20" s="64"/>
      <c r="C20" s="64"/>
      <c r="D20" s="64"/>
      <c r="E20" s="64"/>
      <c r="F20" s="64"/>
      <c r="G20" s="74"/>
    </row>
    <row r="21" spans="1:7" ht="38.1" customHeight="1">
      <c r="A21" s="77"/>
      <c r="B21" s="64"/>
      <c r="C21" s="64"/>
      <c r="D21" s="64"/>
      <c r="E21" s="64"/>
      <c r="F21" s="64"/>
      <c r="G21" s="74"/>
    </row>
    <row r="22" spans="1:7" ht="38.1" customHeight="1">
      <c r="A22" s="78"/>
      <c r="B22" s="64"/>
      <c r="C22" s="64"/>
      <c r="D22" s="64"/>
      <c r="E22" s="64"/>
      <c r="F22" s="64"/>
      <c r="G22" s="74"/>
    </row>
    <row r="23" spans="1:7" ht="38.1" customHeight="1">
      <c r="A23" s="77"/>
      <c r="B23" s="64"/>
      <c r="C23" s="64"/>
      <c r="D23" s="64"/>
      <c r="E23" s="64"/>
      <c r="F23" s="64"/>
      <c r="G23" s="74"/>
    </row>
    <row r="24" spans="1:7" ht="38.1" customHeight="1" thickBot="1">
      <c r="A24" s="78"/>
      <c r="B24" s="75"/>
      <c r="C24" s="75"/>
      <c r="D24" s="75"/>
      <c r="E24" s="75"/>
      <c r="F24" s="75"/>
      <c r="G24" s="76"/>
    </row>
  </sheetData>
  <mergeCells count="1">
    <mergeCell ref="A1:G1"/>
  </mergeCells>
  <phoneticPr fontId="3" type="noConversion"/>
  <pageMargins left="0" right="0" top="0" bottom="0" header="0" footer="0"/>
  <pageSetup paperSize="9" scale="9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view="pageBreakPreview" zoomScale="60" zoomScaleNormal="100" workbookViewId="0">
      <selection activeCell="N30" sqref="N30"/>
    </sheetView>
  </sheetViews>
  <sheetFormatPr defaultRowHeight="16.5"/>
  <cols>
    <col min="2" max="2" width="20.25" style="149" customWidth="1"/>
    <col min="5" max="5" width="8.625" style="149" customWidth="1"/>
    <col min="7" max="7" width="17.875" style="149" customWidth="1"/>
  </cols>
  <sheetData>
    <row r="1" spans="1:9" ht="24.75" customHeight="1">
      <c r="A1" s="80" t="s">
        <v>277</v>
      </c>
      <c r="B1" s="81" t="s">
        <v>278</v>
      </c>
      <c r="C1" s="81" t="s">
        <v>279</v>
      </c>
      <c r="D1" s="82" t="s">
        <v>280</v>
      </c>
      <c r="F1" s="80" t="s">
        <v>277</v>
      </c>
      <c r="G1" s="81" t="s">
        <v>278</v>
      </c>
      <c r="H1" s="81" t="s">
        <v>279</v>
      </c>
      <c r="I1" s="82" t="s">
        <v>280</v>
      </c>
    </row>
    <row r="2" spans="1:9" ht="24.75" customHeight="1">
      <c r="A2" s="83" t="s">
        <v>186</v>
      </c>
      <c r="B2" s="71"/>
      <c r="C2" s="71"/>
      <c r="D2" s="73"/>
      <c r="F2" s="83" t="s">
        <v>186</v>
      </c>
      <c r="G2" s="71"/>
      <c r="H2" s="71"/>
      <c r="I2" s="73"/>
    </row>
    <row r="3" spans="1:9" ht="24.75" customHeight="1">
      <c r="A3" s="83" t="s">
        <v>22</v>
      </c>
      <c r="B3" s="71"/>
      <c r="C3" s="71" t="s">
        <v>267</v>
      </c>
      <c r="D3" s="73"/>
      <c r="F3" s="83" t="s">
        <v>22</v>
      </c>
      <c r="G3" s="71"/>
      <c r="H3" s="71" t="s">
        <v>267</v>
      </c>
      <c r="I3" s="73"/>
    </row>
    <row r="4" spans="1:9" ht="24.75" customHeight="1">
      <c r="A4" s="83" t="s">
        <v>11</v>
      </c>
      <c r="B4" s="71"/>
      <c r="C4" s="71" t="s">
        <v>265</v>
      </c>
      <c r="D4" s="73"/>
      <c r="F4" s="83" t="s">
        <v>11</v>
      </c>
      <c r="G4" s="71"/>
      <c r="H4" s="71" t="s">
        <v>265</v>
      </c>
      <c r="I4" s="73"/>
    </row>
    <row r="5" spans="1:9" ht="24.75" customHeight="1">
      <c r="A5" s="83" t="s">
        <v>12</v>
      </c>
      <c r="B5" s="71"/>
      <c r="C5" s="71" t="s">
        <v>281</v>
      </c>
      <c r="D5" s="73"/>
      <c r="F5" s="83" t="s">
        <v>12</v>
      </c>
      <c r="G5" s="71"/>
      <c r="H5" s="71" t="s">
        <v>281</v>
      </c>
      <c r="I5" s="73"/>
    </row>
    <row r="6" spans="1:9" ht="24.75" customHeight="1" thickBot="1">
      <c r="A6" s="84" t="s">
        <v>282</v>
      </c>
      <c r="B6" s="215"/>
      <c r="C6" s="216"/>
      <c r="D6" s="217"/>
      <c r="F6" s="84" t="s">
        <v>282</v>
      </c>
      <c r="G6" s="215"/>
      <c r="H6" s="216"/>
      <c r="I6" s="217"/>
    </row>
    <row r="7" spans="1:9" ht="24.75" customHeight="1" thickBot="1"/>
    <row r="8" spans="1:9" ht="24.75" customHeight="1">
      <c r="A8" s="80" t="s">
        <v>277</v>
      </c>
      <c r="B8" s="81" t="s">
        <v>278</v>
      </c>
      <c r="C8" s="81" t="s">
        <v>279</v>
      </c>
      <c r="D8" s="82" t="s">
        <v>280</v>
      </c>
      <c r="F8" s="80" t="s">
        <v>277</v>
      </c>
      <c r="G8" s="81" t="s">
        <v>278</v>
      </c>
      <c r="H8" s="81" t="s">
        <v>279</v>
      </c>
      <c r="I8" s="82" t="s">
        <v>280</v>
      </c>
    </row>
    <row r="9" spans="1:9" ht="24.75" customHeight="1">
      <c r="A9" s="83" t="s">
        <v>186</v>
      </c>
      <c r="B9" s="71"/>
      <c r="C9" s="71"/>
      <c r="D9" s="73"/>
      <c r="F9" s="83" t="s">
        <v>186</v>
      </c>
      <c r="G9" s="71"/>
      <c r="H9" s="71"/>
      <c r="I9" s="73"/>
    </row>
    <row r="10" spans="1:9" ht="24.75" customHeight="1">
      <c r="A10" s="83" t="s">
        <v>22</v>
      </c>
      <c r="B10" s="71"/>
      <c r="C10" s="71" t="s">
        <v>267</v>
      </c>
      <c r="D10" s="73"/>
      <c r="F10" s="83" t="s">
        <v>22</v>
      </c>
      <c r="G10" s="71"/>
      <c r="H10" s="71" t="s">
        <v>267</v>
      </c>
      <c r="I10" s="73"/>
    </row>
    <row r="11" spans="1:9" ht="24.75" customHeight="1">
      <c r="A11" s="83" t="s">
        <v>11</v>
      </c>
      <c r="B11" s="71"/>
      <c r="C11" s="71" t="s">
        <v>265</v>
      </c>
      <c r="D11" s="73"/>
      <c r="F11" s="83" t="s">
        <v>11</v>
      </c>
      <c r="G11" s="71"/>
      <c r="H11" s="71" t="s">
        <v>265</v>
      </c>
      <c r="I11" s="73"/>
    </row>
    <row r="12" spans="1:9" ht="24.75" customHeight="1">
      <c r="A12" s="83" t="s">
        <v>12</v>
      </c>
      <c r="B12" s="71"/>
      <c r="C12" s="71" t="s">
        <v>281</v>
      </c>
      <c r="D12" s="73"/>
      <c r="F12" s="83" t="s">
        <v>12</v>
      </c>
      <c r="G12" s="71"/>
      <c r="H12" s="71" t="s">
        <v>281</v>
      </c>
      <c r="I12" s="73"/>
    </row>
    <row r="13" spans="1:9" ht="24.75" customHeight="1" thickBot="1">
      <c r="A13" s="84" t="s">
        <v>282</v>
      </c>
      <c r="B13" s="215"/>
      <c r="C13" s="216"/>
      <c r="D13" s="217"/>
      <c r="F13" s="84" t="s">
        <v>282</v>
      </c>
      <c r="G13" s="215"/>
      <c r="H13" s="216"/>
      <c r="I13" s="217"/>
    </row>
    <row r="14" spans="1:9" ht="24.75" customHeight="1" thickBot="1"/>
    <row r="15" spans="1:9" ht="24.75" customHeight="1">
      <c r="A15" s="80" t="s">
        <v>277</v>
      </c>
      <c r="B15" s="81" t="s">
        <v>278</v>
      </c>
      <c r="C15" s="81" t="s">
        <v>279</v>
      </c>
      <c r="D15" s="82" t="s">
        <v>280</v>
      </c>
      <c r="F15" s="80" t="s">
        <v>277</v>
      </c>
      <c r="G15" s="81" t="s">
        <v>278</v>
      </c>
      <c r="H15" s="81" t="s">
        <v>279</v>
      </c>
      <c r="I15" s="82" t="s">
        <v>280</v>
      </c>
    </row>
    <row r="16" spans="1:9" ht="24.75" customHeight="1">
      <c r="A16" s="83" t="s">
        <v>186</v>
      </c>
      <c r="B16" s="71"/>
      <c r="C16" s="71"/>
      <c r="D16" s="73"/>
      <c r="F16" s="83" t="s">
        <v>186</v>
      </c>
      <c r="G16" s="71"/>
      <c r="H16" s="71"/>
      <c r="I16" s="73"/>
    </row>
    <row r="17" spans="1:9" ht="24.75" customHeight="1">
      <c r="A17" s="83" t="s">
        <v>22</v>
      </c>
      <c r="B17" s="71"/>
      <c r="C17" s="71" t="s">
        <v>267</v>
      </c>
      <c r="D17" s="73"/>
      <c r="F17" s="83" t="s">
        <v>22</v>
      </c>
      <c r="G17" s="71"/>
      <c r="H17" s="71" t="s">
        <v>267</v>
      </c>
      <c r="I17" s="73"/>
    </row>
    <row r="18" spans="1:9" ht="24.75" customHeight="1">
      <c r="A18" s="83" t="s">
        <v>11</v>
      </c>
      <c r="B18" s="71"/>
      <c r="C18" s="71" t="s">
        <v>265</v>
      </c>
      <c r="D18" s="73"/>
      <c r="F18" s="83" t="s">
        <v>11</v>
      </c>
      <c r="G18" s="71"/>
      <c r="H18" s="71" t="s">
        <v>265</v>
      </c>
      <c r="I18" s="73"/>
    </row>
    <row r="19" spans="1:9" ht="24.75" customHeight="1">
      <c r="A19" s="83" t="s">
        <v>12</v>
      </c>
      <c r="B19" s="71"/>
      <c r="C19" s="71" t="s">
        <v>281</v>
      </c>
      <c r="D19" s="73"/>
      <c r="F19" s="83" t="s">
        <v>12</v>
      </c>
      <c r="G19" s="71"/>
      <c r="H19" s="71" t="s">
        <v>281</v>
      </c>
      <c r="I19" s="73"/>
    </row>
    <row r="20" spans="1:9" ht="24.75" customHeight="1" thickBot="1">
      <c r="A20" s="84" t="s">
        <v>282</v>
      </c>
      <c r="B20" s="215"/>
      <c r="C20" s="216"/>
      <c r="D20" s="217"/>
      <c r="F20" s="84" t="s">
        <v>282</v>
      </c>
      <c r="G20" s="215"/>
      <c r="H20" s="216"/>
      <c r="I20" s="217"/>
    </row>
    <row r="21" spans="1:9" ht="24.75" customHeight="1" thickBot="1"/>
    <row r="22" spans="1:9" ht="24.75" customHeight="1">
      <c r="A22" s="80" t="s">
        <v>277</v>
      </c>
      <c r="B22" s="81" t="s">
        <v>278</v>
      </c>
      <c r="C22" s="81" t="s">
        <v>279</v>
      </c>
      <c r="D22" s="82" t="s">
        <v>280</v>
      </c>
      <c r="F22" s="80" t="s">
        <v>277</v>
      </c>
      <c r="G22" s="81" t="s">
        <v>278</v>
      </c>
      <c r="H22" s="81" t="s">
        <v>279</v>
      </c>
      <c r="I22" s="82" t="s">
        <v>280</v>
      </c>
    </row>
    <row r="23" spans="1:9" ht="24.75" customHeight="1">
      <c r="A23" s="83" t="s">
        <v>186</v>
      </c>
      <c r="B23" s="71"/>
      <c r="C23" s="71"/>
      <c r="D23" s="73"/>
      <c r="F23" s="83" t="s">
        <v>186</v>
      </c>
      <c r="G23" s="71"/>
      <c r="H23" s="71"/>
      <c r="I23" s="73"/>
    </row>
    <row r="24" spans="1:9" ht="24.75" customHeight="1">
      <c r="A24" s="83" t="s">
        <v>22</v>
      </c>
      <c r="B24" s="71"/>
      <c r="C24" s="71" t="s">
        <v>267</v>
      </c>
      <c r="D24" s="73"/>
      <c r="F24" s="83" t="s">
        <v>22</v>
      </c>
      <c r="G24" s="71"/>
      <c r="H24" s="71" t="s">
        <v>267</v>
      </c>
      <c r="I24" s="73"/>
    </row>
    <row r="25" spans="1:9" ht="24.75" customHeight="1">
      <c r="A25" s="83" t="s">
        <v>11</v>
      </c>
      <c r="B25" s="71"/>
      <c r="C25" s="71" t="s">
        <v>265</v>
      </c>
      <c r="D25" s="73"/>
      <c r="F25" s="83" t="s">
        <v>11</v>
      </c>
      <c r="G25" s="71"/>
      <c r="H25" s="71" t="s">
        <v>265</v>
      </c>
      <c r="I25" s="73"/>
    </row>
    <row r="26" spans="1:9" ht="24.75" customHeight="1">
      <c r="A26" s="83" t="s">
        <v>12</v>
      </c>
      <c r="B26" s="71"/>
      <c r="C26" s="71" t="s">
        <v>281</v>
      </c>
      <c r="D26" s="73"/>
      <c r="F26" s="83" t="s">
        <v>12</v>
      </c>
      <c r="G26" s="71"/>
      <c r="H26" s="71" t="s">
        <v>281</v>
      </c>
      <c r="I26" s="73"/>
    </row>
    <row r="27" spans="1:9" ht="24.75" customHeight="1" thickBot="1">
      <c r="A27" s="84" t="s">
        <v>282</v>
      </c>
      <c r="B27" s="215"/>
      <c r="C27" s="216"/>
      <c r="D27" s="217"/>
      <c r="F27" s="84" t="s">
        <v>282</v>
      </c>
      <c r="G27" s="215"/>
      <c r="H27" s="216"/>
      <c r="I27" s="217"/>
    </row>
    <row r="28" spans="1:9" ht="15.75" customHeight="1" thickBot="1"/>
    <row r="29" spans="1:9" ht="24.75" customHeight="1" thickBot="1">
      <c r="A29" s="152" t="s">
        <v>277</v>
      </c>
      <c r="B29" s="152" t="s">
        <v>278</v>
      </c>
      <c r="C29" s="152" t="s">
        <v>279</v>
      </c>
      <c r="D29" s="152" t="s">
        <v>280</v>
      </c>
      <c r="F29" s="152" t="s">
        <v>277</v>
      </c>
      <c r="G29" s="152" t="s">
        <v>278</v>
      </c>
      <c r="H29" s="152" t="s">
        <v>279</v>
      </c>
      <c r="I29" s="152" t="s">
        <v>280</v>
      </c>
    </row>
    <row r="30" spans="1:9" ht="24.75" customHeight="1" thickBot="1">
      <c r="A30" s="152" t="s">
        <v>186</v>
      </c>
      <c r="B30" s="152"/>
      <c r="C30" s="152"/>
      <c r="D30" s="152"/>
      <c r="F30" s="152" t="s">
        <v>186</v>
      </c>
      <c r="G30" s="152"/>
      <c r="H30" s="152"/>
      <c r="I30" s="152"/>
    </row>
    <row r="31" spans="1:9" ht="24.75" customHeight="1" thickBot="1">
      <c r="A31" s="152" t="s">
        <v>22</v>
      </c>
      <c r="B31" s="152"/>
      <c r="C31" s="152" t="s">
        <v>267</v>
      </c>
      <c r="D31" s="152"/>
      <c r="F31" s="152" t="s">
        <v>22</v>
      </c>
      <c r="G31" s="152"/>
      <c r="H31" s="152" t="s">
        <v>267</v>
      </c>
      <c r="I31" s="152"/>
    </row>
    <row r="32" spans="1:9" ht="24.75" customHeight="1" thickBot="1">
      <c r="A32" s="152" t="s">
        <v>11</v>
      </c>
      <c r="B32" s="152"/>
      <c r="C32" s="152" t="s">
        <v>265</v>
      </c>
      <c r="D32" s="152"/>
      <c r="F32" s="152" t="s">
        <v>11</v>
      </c>
      <c r="G32" s="152"/>
      <c r="H32" s="152" t="s">
        <v>265</v>
      </c>
      <c r="I32" s="152"/>
    </row>
    <row r="33" spans="1:9" ht="25.5" customHeight="1" thickBot="1">
      <c r="A33" s="152" t="s">
        <v>12</v>
      </c>
      <c r="B33" s="152"/>
      <c r="C33" s="152" t="s">
        <v>281</v>
      </c>
      <c r="D33" s="152"/>
      <c r="F33" s="152" t="s">
        <v>12</v>
      </c>
      <c r="G33" s="152"/>
      <c r="H33" s="152" t="s">
        <v>281</v>
      </c>
      <c r="I33" s="152"/>
    </row>
    <row r="34" spans="1:9" ht="30.75" customHeight="1" thickBot="1">
      <c r="A34" s="152" t="s">
        <v>282</v>
      </c>
      <c r="B34" s="214"/>
      <c r="C34" s="181"/>
      <c r="D34" s="182"/>
      <c r="F34" s="152" t="s">
        <v>282</v>
      </c>
      <c r="G34" s="214"/>
      <c r="H34" s="181"/>
      <c r="I34" s="182"/>
    </row>
    <row r="35" spans="1:9" ht="19.5" customHeight="1"/>
  </sheetData>
  <mergeCells count="10">
    <mergeCell ref="B34:D34"/>
    <mergeCell ref="G27:I27"/>
    <mergeCell ref="G13:I13"/>
    <mergeCell ref="G6:I6"/>
    <mergeCell ref="B27:D27"/>
    <mergeCell ref="B13:D13"/>
    <mergeCell ref="G34:I34"/>
    <mergeCell ref="G20:I20"/>
    <mergeCell ref="B6:D6"/>
    <mergeCell ref="B20:D20"/>
  </mergeCells>
  <phoneticPr fontId="3" type="noConversion"/>
  <pageMargins left="0.25" right="0.25" top="0.75" bottom="0.75" header="0.3" footer="0.3"/>
  <pageSetup paperSize="9" scale="92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zoomScale="55" zoomScaleNormal="55" zoomScaleSheetLayoutView="55" workbookViewId="0">
      <selection activeCell="B4" sqref="B4"/>
    </sheetView>
  </sheetViews>
  <sheetFormatPr defaultRowHeight="16.5"/>
  <cols>
    <col min="1" max="1" width="34.5" style="149" customWidth="1"/>
    <col min="2" max="2" width="74.625" style="149" customWidth="1"/>
  </cols>
  <sheetData>
    <row r="1" spans="1:7" ht="153.75" customHeight="1">
      <c r="B1" s="145"/>
    </row>
    <row r="2" spans="1:7" ht="159.75" customHeight="1">
      <c r="B2" s="170" t="s">
        <v>283</v>
      </c>
    </row>
    <row r="3" spans="1:7" ht="110.1" customHeight="1">
      <c r="A3" t="s">
        <v>276</v>
      </c>
      <c r="B3" s="170" t="s">
        <v>284</v>
      </c>
    </row>
    <row r="4" spans="1:7" ht="114.95" customHeight="1">
      <c r="B4" s="171" t="s">
        <v>285</v>
      </c>
    </row>
    <row r="5" spans="1:7" ht="115.7" customHeight="1">
      <c r="B5" s="171" t="s">
        <v>286</v>
      </c>
      <c r="E5" s="85"/>
    </row>
    <row r="6" spans="1:7" ht="114.95" customHeight="1">
      <c r="B6" s="171" t="s">
        <v>287</v>
      </c>
      <c r="G6" s="143"/>
    </row>
    <row r="7" spans="1:7" ht="114.95" customHeight="1">
      <c r="B7" s="172" t="s">
        <v>288</v>
      </c>
    </row>
    <row r="8" spans="1:7">
      <c r="B8" s="144"/>
    </row>
  </sheetData>
  <phoneticPr fontId="3" type="noConversion"/>
  <pageMargins left="0.1181102362204724" right="0" top="0.31496062992125978" bottom="0" header="0" footer="0"/>
  <pageSetup paperSize="9" scale="91" orientation="portrait" horizontalDpi="360" verticalDpi="36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workbookViewId="0">
      <selection activeCell="L16" sqref="L16"/>
    </sheetView>
  </sheetViews>
  <sheetFormatPr defaultRowHeight="16.5"/>
  <cols>
    <col min="1" max="1" width="8.5" style="149" customWidth="1"/>
    <col min="2" max="2" width="15.25" style="149" customWidth="1"/>
    <col min="3" max="3" width="6.875" style="149" customWidth="1"/>
    <col min="4" max="4" width="7" style="149" customWidth="1"/>
    <col min="5" max="5" width="6.875" style="149" customWidth="1"/>
    <col min="6" max="6" width="1.5" style="149" customWidth="1"/>
    <col min="7" max="7" width="7.75" style="149" customWidth="1"/>
    <col min="8" max="8" width="12.875" style="149" customWidth="1"/>
    <col min="9" max="9" width="7.25" style="149" customWidth="1"/>
    <col min="10" max="10" width="6.875" style="149" customWidth="1"/>
    <col min="11" max="11" width="8.75" style="149" customWidth="1"/>
  </cols>
  <sheetData>
    <row r="1" spans="1:11" ht="33.75" customHeight="1" thickTop="1">
      <c r="A1" s="219" t="s">
        <v>289</v>
      </c>
      <c r="B1" s="220"/>
      <c r="C1" s="220"/>
      <c r="D1" s="220"/>
      <c r="E1" s="221"/>
      <c r="F1" s="118"/>
      <c r="G1" s="219" t="s">
        <v>289</v>
      </c>
      <c r="H1" s="220"/>
      <c r="I1" s="220"/>
      <c r="J1" s="220"/>
      <c r="K1" s="221"/>
    </row>
    <row r="2" spans="1:11" ht="20.25" customHeight="1">
      <c r="A2" s="110" t="s">
        <v>186</v>
      </c>
      <c r="B2" s="218"/>
      <c r="C2" s="207"/>
      <c r="D2" s="207"/>
      <c r="E2" s="208"/>
      <c r="F2" s="118"/>
      <c r="G2" s="110" t="s">
        <v>186</v>
      </c>
      <c r="H2" s="218"/>
      <c r="I2" s="207"/>
      <c r="J2" s="207"/>
      <c r="K2" s="208"/>
    </row>
    <row r="3" spans="1:11" ht="17.25" customHeight="1">
      <c r="A3" s="110" t="s">
        <v>22</v>
      </c>
      <c r="B3" s="153"/>
      <c r="C3" s="153" t="s">
        <v>267</v>
      </c>
      <c r="D3" s="218"/>
      <c r="E3" s="208"/>
      <c r="F3" s="118"/>
      <c r="G3" s="110" t="s">
        <v>22</v>
      </c>
      <c r="H3" s="153"/>
      <c r="I3" s="153" t="s">
        <v>267</v>
      </c>
      <c r="J3" s="218"/>
      <c r="K3" s="208"/>
    </row>
    <row r="4" spans="1:11" ht="17.25" customHeight="1">
      <c r="A4" s="110" t="s">
        <v>11</v>
      </c>
      <c r="B4" s="153"/>
      <c r="C4" s="153" t="s">
        <v>265</v>
      </c>
      <c r="D4" s="218"/>
      <c r="E4" s="208"/>
      <c r="F4" s="118"/>
      <c r="G4" s="110" t="s">
        <v>11</v>
      </c>
      <c r="H4" s="153"/>
      <c r="I4" s="153" t="s">
        <v>265</v>
      </c>
      <c r="J4" s="218"/>
      <c r="K4" s="208"/>
    </row>
    <row r="5" spans="1:11" ht="17.25" customHeight="1">
      <c r="A5" s="110" t="s">
        <v>12</v>
      </c>
      <c r="B5" s="153"/>
      <c r="C5" s="218"/>
      <c r="D5" s="207"/>
      <c r="E5" s="208"/>
      <c r="F5" s="118"/>
      <c r="G5" s="110" t="s">
        <v>12</v>
      </c>
      <c r="H5" s="153"/>
      <c r="I5" s="218"/>
      <c r="J5" s="207"/>
      <c r="K5" s="208"/>
    </row>
    <row r="6" spans="1:11" ht="17.25" customHeight="1">
      <c r="A6" s="111" t="s">
        <v>290</v>
      </c>
      <c r="B6" s="112" t="s">
        <v>277</v>
      </c>
      <c r="C6" s="112" t="s">
        <v>291</v>
      </c>
      <c r="D6" s="112" t="s">
        <v>280</v>
      </c>
      <c r="E6" s="113" t="s">
        <v>292</v>
      </c>
      <c r="F6" s="118"/>
      <c r="G6" s="111" t="s">
        <v>290</v>
      </c>
      <c r="H6" s="112" t="s">
        <v>277</v>
      </c>
      <c r="I6" s="112" t="s">
        <v>291</v>
      </c>
      <c r="J6" s="112" t="s">
        <v>280</v>
      </c>
      <c r="K6" s="113" t="s">
        <v>292</v>
      </c>
    </row>
    <row r="7" spans="1:11" ht="18" customHeight="1" thickBot="1">
      <c r="A7" s="114"/>
      <c r="B7" s="115"/>
      <c r="C7" s="115"/>
      <c r="D7" s="115"/>
      <c r="E7" s="116"/>
      <c r="F7" s="118"/>
      <c r="G7" s="114"/>
      <c r="H7" s="115"/>
      <c r="I7" s="115"/>
      <c r="J7" s="115"/>
      <c r="K7" s="116"/>
    </row>
    <row r="8" spans="1:11" ht="14.25" customHeight="1" thickTop="1" thickBot="1">
      <c r="A8" s="118"/>
      <c r="B8" s="118"/>
      <c r="C8" s="118"/>
      <c r="D8" s="118"/>
      <c r="E8" s="118"/>
      <c r="F8" s="118"/>
      <c r="G8" s="118"/>
      <c r="H8" s="118"/>
      <c r="I8" s="118"/>
      <c r="J8" s="118"/>
      <c r="K8" s="118"/>
    </row>
    <row r="9" spans="1:11" ht="26.25" customHeight="1" thickTop="1">
      <c r="A9" s="219" t="s">
        <v>289</v>
      </c>
      <c r="B9" s="220"/>
      <c r="C9" s="220"/>
      <c r="D9" s="220"/>
      <c r="E9" s="221"/>
      <c r="F9" s="125"/>
      <c r="G9" s="219" t="s">
        <v>289</v>
      </c>
      <c r="H9" s="220"/>
      <c r="I9" s="220"/>
      <c r="J9" s="220"/>
      <c r="K9" s="221"/>
    </row>
    <row r="10" spans="1:11" ht="20.25" customHeight="1">
      <c r="A10" s="110" t="s">
        <v>186</v>
      </c>
      <c r="B10" s="218"/>
      <c r="C10" s="207"/>
      <c r="D10" s="207"/>
      <c r="E10" s="208"/>
      <c r="F10" s="118"/>
      <c r="G10" s="110" t="s">
        <v>186</v>
      </c>
      <c r="H10" s="218"/>
      <c r="I10" s="207"/>
      <c r="J10" s="207"/>
      <c r="K10" s="208"/>
    </row>
    <row r="11" spans="1:11" ht="17.25" customHeight="1">
      <c r="A11" s="110" t="s">
        <v>22</v>
      </c>
      <c r="B11" s="153"/>
      <c r="C11" s="153" t="s">
        <v>267</v>
      </c>
      <c r="D11" s="218"/>
      <c r="E11" s="208"/>
      <c r="F11" s="118"/>
      <c r="G11" s="110" t="s">
        <v>22</v>
      </c>
      <c r="H11" s="153"/>
      <c r="I11" s="153" t="s">
        <v>267</v>
      </c>
      <c r="J11" s="218"/>
      <c r="K11" s="208"/>
    </row>
    <row r="12" spans="1:11" ht="17.25" customHeight="1">
      <c r="A12" s="110" t="s">
        <v>11</v>
      </c>
      <c r="B12" s="153"/>
      <c r="C12" s="153" t="s">
        <v>265</v>
      </c>
      <c r="D12" s="218"/>
      <c r="E12" s="208"/>
      <c r="F12" s="118"/>
      <c r="G12" s="110" t="s">
        <v>11</v>
      </c>
      <c r="H12" s="153"/>
      <c r="I12" s="153" t="s">
        <v>265</v>
      </c>
      <c r="J12" s="218"/>
      <c r="K12" s="208"/>
    </row>
    <row r="13" spans="1:11" ht="17.25" customHeight="1">
      <c r="A13" s="110" t="s">
        <v>12</v>
      </c>
      <c r="B13" s="153"/>
      <c r="C13" s="218"/>
      <c r="D13" s="207"/>
      <c r="E13" s="208"/>
      <c r="F13" s="118"/>
      <c r="G13" s="110" t="s">
        <v>12</v>
      </c>
      <c r="H13" s="153"/>
      <c r="I13" s="218"/>
      <c r="J13" s="207"/>
      <c r="K13" s="208"/>
    </row>
    <row r="14" spans="1:11" ht="17.25" customHeight="1">
      <c r="A14" s="111" t="s">
        <v>290</v>
      </c>
      <c r="B14" s="112" t="s">
        <v>277</v>
      </c>
      <c r="C14" s="112" t="s">
        <v>291</v>
      </c>
      <c r="D14" s="112" t="s">
        <v>280</v>
      </c>
      <c r="E14" s="113" t="s">
        <v>292</v>
      </c>
      <c r="F14" s="118"/>
      <c r="G14" s="111" t="s">
        <v>290</v>
      </c>
      <c r="H14" s="112" t="s">
        <v>277</v>
      </c>
      <c r="I14" s="112" t="s">
        <v>291</v>
      </c>
      <c r="J14" s="112" t="s">
        <v>280</v>
      </c>
      <c r="K14" s="113" t="s">
        <v>292</v>
      </c>
    </row>
    <row r="15" spans="1:11" ht="18" customHeight="1" thickBot="1">
      <c r="A15" s="114"/>
      <c r="B15" s="115"/>
      <c r="C15" s="115"/>
      <c r="D15" s="115"/>
      <c r="E15" s="116"/>
      <c r="F15" s="118"/>
      <c r="G15" s="114"/>
      <c r="H15" s="115"/>
      <c r="I15" s="115"/>
      <c r="J15" s="115"/>
      <c r="K15" s="116"/>
    </row>
    <row r="16" spans="1:11" ht="34.5" customHeight="1" thickTop="1" thickBot="1">
      <c r="A16" s="118"/>
      <c r="B16" s="118"/>
      <c r="C16" s="118"/>
      <c r="D16" s="118"/>
      <c r="E16" s="118"/>
      <c r="F16" s="118"/>
      <c r="G16" s="118"/>
      <c r="H16" s="118"/>
      <c r="I16" s="118"/>
      <c r="J16" s="118"/>
      <c r="K16" s="118"/>
    </row>
    <row r="17" spans="1:11" ht="31.5" customHeight="1" thickTop="1">
      <c r="A17" s="219" t="s">
        <v>289</v>
      </c>
      <c r="B17" s="220"/>
      <c r="C17" s="220"/>
      <c r="D17" s="220"/>
      <c r="E17" s="221"/>
      <c r="F17" s="125"/>
      <c r="G17" s="219" t="s">
        <v>289</v>
      </c>
      <c r="H17" s="220"/>
      <c r="I17" s="220"/>
      <c r="J17" s="220"/>
      <c r="K17" s="221"/>
    </row>
    <row r="18" spans="1:11" ht="26.25" customHeight="1">
      <c r="A18" s="110" t="s">
        <v>186</v>
      </c>
      <c r="B18" s="218"/>
      <c r="C18" s="207"/>
      <c r="D18" s="207"/>
      <c r="E18" s="208"/>
      <c r="F18" s="118"/>
      <c r="G18" s="110" t="s">
        <v>186</v>
      </c>
      <c r="H18" s="218"/>
      <c r="I18" s="207"/>
      <c r="J18" s="207"/>
      <c r="K18" s="208"/>
    </row>
    <row r="19" spans="1:11" ht="17.25" customHeight="1">
      <c r="A19" s="110" t="s">
        <v>22</v>
      </c>
      <c r="B19" s="153"/>
      <c r="C19" s="153" t="s">
        <v>267</v>
      </c>
      <c r="D19" s="218"/>
      <c r="E19" s="208"/>
      <c r="F19" s="118"/>
      <c r="G19" s="110" t="s">
        <v>22</v>
      </c>
      <c r="H19" s="153"/>
      <c r="I19" s="153" t="s">
        <v>267</v>
      </c>
      <c r="J19" s="218"/>
      <c r="K19" s="208"/>
    </row>
    <row r="20" spans="1:11" ht="17.25" customHeight="1">
      <c r="A20" s="110" t="s">
        <v>11</v>
      </c>
      <c r="B20" s="153"/>
      <c r="C20" s="153" t="s">
        <v>265</v>
      </c>
      <c r="D20" s="218"/>
      <c r="E20" s="208"/>
      <c r="F20" s="118"/>
      <c r="G20" s="110" t="s">
        <v>11</v>
      </c>
      <c r="H20" s="153"/>
      <c r="I20" s="153" t="s">
        <v>265</v>
      </c>
      <c r="J20" s="218"/>
      <c r="K20" s="208"/>
    </row>
    <row r="21" spans="1:11" ht="17.25" customHeight="1">
      <c r="A21" s="110" t="s">
        <v>12</v>
      </c>
      <c r="B21" s="153"/>
      <c r="C21" s="218"/>
      <c r="D21" s="207"/>
      <c r="E21" s="208"/>
      <c r="F21" s="118"/>
      <c r="G21" s="110" t="s">
        <v>12</v>
      </c>
      <c r="H21" s="153"/>
      <c r="I21" s="218"/>
      <c r="J21" s="207"/>
      <c r="K21" s="208"/>
    </row>
    <row r="22" spans="1:11" ht="17.25" customHeight="1">
      <c r="A22" s="111" t="s">
        <v>290</v>
      </c>
      <c r="B22" s="112" t="s">
        <v>277</v>
      </c>
      <c r="C22" s="112" t="s">
        <v>291</v>
      </c>
      <c r="D22" s="112" t="s">
        <v>280</v>
      </c>
      <c r="E22" s="113" t="s">
        <v>292</v>
      </c>
      <c r="F22" s="118"/>
      <c r="G22" s="111" t="s">
        <v>290</v>
      </c>
      <c r="H22" s="112" t="s">
        <v>277</v>
      </c>
      <c r="I22" s="112" t="s">
        <v>291</v>
      </c>
      <c r="J22" s="112" t="s">
        <v>280</v>
      </c>
      <c r="K22" s="113" t="s">
        <v>292</v>
      </c>
    </row>
    <row r="23" spans="1:11" ht="18" customHeight="1" thickBot="1">
      <c r="A23" s="114"/>
      <c r="B23" s="115"/>
      <c r="C23" s="115"/>
      <c r="D23" s="115"/>
      <c r="E23" s="116"/>
      <c r="F23" s="118"/>
      <c r="G23" s="114"/>
      <c r="H23" s="115"/>
      <c r="I23" s="115"/>
      <c r="J23" s="115"/>
      <c r="K23" s="116"/>
    </row>
    <row r="24" spans="1:11" ht="19.5" customHeight="1" thickTop="1" thickBot="1">
      <c r="A24" s="118"/>
      <c r="B24" s="118"/>
      <c r="C24" s="118"/>
      <c r="D24" s="118"/>
      <c r="E24" s="118"/>
      <c r="F24" s="118"/>
      <c r="G24" s="118"/>
      <c r="H24" s="118"/>
      <c r="I24" s="118"/>
      <c r="J24" s="118"/>
      <c r="K24" s="118"/>
    </row>
    <row r="25" spans="1:11" ht="30" customHeight="1" thickTop="1">
      <c r="A25" s="219" t="s">
        <v>289</v>
      </c>
      <c r="B25" s="220"/>
      <c r="C25" s="220"/>
      <c r="D25" s="220"/>
      <c r="E25" s="221"/>
      <c r="F25" s="125"/>
      <c r="G25" s="219" t="s">
        <v>289</v>
      </c>
      <c r="H25" s="220"/>
      <c r="I25" s="220"/>
      <c r="J25" s="220"/>
      <c r="K25" s="221"/>
    </row>
    <row r="26" spans="1:11" ht="23.25" customHeight="1">
      <c r="A26" s="110" t="s">
        <v>186</v>
      </c>
      <c r="B26" s="218"/>
      <c r="C26" s="207"/>
      <c r="D26" s="207"/>
      <c r="E26" s="208"/>
      <c r="F26" s="118"/>
      <c r="G26" s="110" t="s">
        <v>186</v>
      </c>
      <c r="H26" s="218"/>
      <c r="I26" s="207"/>
      <c r="J26" s="207"/>
      <c r="K26" s="208"/>
    </row>
    <row r="27" spans="1:11" ht="17.25" customHeight="1">
      <c r="A27" s="110" t="s">
        <v>22</v>
      </c>
      <c r="B27" s="153"/>
      <c r="C27" s="153" t="s">
        <v>267</v>
      </c>
      <c r="D27" s="218"/>
      <c r="E27" s="208"/>
      <c r="F27" s="118"/>
      <c r="G27" s="110" t="s">
        <v>22</v>
      </c>
      <c r="H27" s="153"/>
      <c r="I27" s="153" t="s">
        <v>267</v>
      </c>
      <c r="J27" s="218"/>
      <c r="K27" s="208"/>
    </row>
    <row r="28" spans="1:11" ht="17.25" customHeight="1">
      <c r="A28" s="110" t="s">
        <v>11</v>
      </c>
      <c r="B28" s="153"/>
      <c r="C28" s="153" t="s">
        <v>265</v>
      </c>
      <c r="D28" s="218"/>
      <c r="E28" s="208"/>
      <c r="F28" s="118"/>
      <c r="G28" s="110" t="s">
        <v>11</v>
      </c>
      <c r="H28" s="153"/>
      <c r="I28" s="153" t="s">
        <v>265</v>
      </c>
      <c r="J28" s="218"/>
      <c r="K28" s="208"/>
    </row>
    <row r="29" spans="1:11" ht="17.25" customHeight="1">
      <c r="A29" s="110" t="s">
        <v>12</v>
      </c>
      <c r="B29" s="153"/>
      <c r="C29" s="218"/>
      <c r="D29" s="207"/>
      <c r="E29" s="208"/>
      <c r="F29" s="118"/>
      <c r="G29" s="110" t="s">
        <v>12</v>
      </c>
      <c r="H29" s="153"/>
      <c r="I29" s="218"/>
      <c r="J29" s="207"/>
      <c r="K29" s="208"/>
    </row>
    <row r="30" spans="1:11" ht="17.25" customHeight="1">
      <c r="A30" s="111" t="s">
        <v>290</v>
      </c>
      <c r="B30" s="112" t="s">
        <v>277</v>
      </c>
      <c r="C30" s="112" t="s">
        <v>291</v>
      </c>
      <c r="D30" s="112" t="s">
        <v>280</v>
      </c>
      <c r="E30" s="113" t="s">
        <v>292</v>
      </c>
      <c r="F30" s="118"/>
      <c r="G30" s="111" t="s">
        <v>290</v>
      </c>
      <c r="H30" s="112" t="s">
        <v>277</v>
      </c>
      <c r="I30" s="112" t="s">
        <v>291</v>
      </c>
      <c r="J30" s="112" t="s">
        <v>280</v>
      </c>
      <c r="K30" s="113" t="s">
        <v>292</v>
      </c>
    </row>
    <row r="31" spans="1:11" ht="18" customHeight="1" thickBot="1">
      <c r="A31" s="114"/>
      <c r="B31" s="115"/>
      <c r="C31" s="115"/>
      <c r="D31" s="115"/>
      <c r="E31" s="116"/>
      <c r="F31" s="118"/>
      <c r="G31" s="114"/>
      <c r="H31" s="115"/>
      <c r="I31" s="115"/>
      <c r="J31" s="115"/>
      <c r="K31" s="116"/>
    </row>
    <row r="32" spans="1:11" ht="18.75" customHeight="1" thickTop="1" thickBot="1">
      <c r="A32" s="117"/>
      <c r="B32" s="117"/>
      <c r="C32" s="117"/>
      <c r="D32" s="117"/>
      <c r="E32" s="118"/>
      <c r="F32" s="118"/>
      <c r="G32" s="117"/>
      <c r="H32" s="117"/>
      <c r="I32" s="117"/>
      <c r="J32" s="117"/>
      <c r="K32" s="118"/>
    </row>
    <row r="33" spans="1:11" ht="29.25" customHeight="1" thickTop="1">
      <c r="A33" s="219" t="s">
        <v>289</v>
      </c>
      <c r="B33" s="220"/>
      <c r="C33" s="220"/>
      <c r="D33" s="220"/>
      <c r="E33" s="221"/>
      <c r="F33" s="126"/>
      <c r="G33" s="219" t="s">
        <v>289</v>
      </c>
      <c r="H33" s="220"/>
      <c r="I33" s="220"/>
      <c r="J33" s="220"/>
      <c r="K33" s="221"/>
    </row>
    <row r="34" spans="1:11" ht="20.25" customHeight="1">
      <c r="A34" s="110" t="s">
        <v>186</v>
      </c>
      <c r="B34" s="218"/>
      <c r="C34" s="207"/>
      <c r="D34" s="207"/>
      <c r="E34" s="208"/>
      <c r="F34" s="118"/>
      <c r="G34" s="110" t="s">
        <v>186</v>
      </c>
      <c r="H34" s="218"/>
      <c r="I34" s="207"/>
      <c r="J34" s="207"/>
      <c r="K34" s="208"/>
    </row>
    <row r="35" spans="1:11" ht="17.25" customHeight="1">
      <c r="A35" s="110" t="s">
        <v>22</v>
      </c>
      <c r="B35" s="153"/>
      <c r="C35" s="153" t="s">
        <v>267</v>
      </c>
      <c r="D35" s="218"/>
      <c r="E35" s="208"/>
      <c r="F35" s="118"/>
      <c r="G35" s="110" t="s">
        <v>22</v>
      </c>
      <c r="H35" s="153"/>
      <c r="I35" s="153" t="s">
        <v>267</v>
      </c>
      <c r="J35" s="218"/>
      <c r="K35" s="208"/>
    </row>
    <row r="36" spans="1:11" ht="17.25" customHeight="1">
      <c r="A36" s="110" t="s">
        <v>11</v>
      </c>
      <c r="B36" s="153"/>
      <c r="C36" s="153" t="s">
        <v>265</v>
      </c>
      <c r="D36" s="218"/>
      <c r="E36" s="208"/>
      <c r="F36" s="118"/>
      <c r="G36" s="110" t="s">
        <v>11</v>
      </c>
      <c r="H36" s="153"/>
      <c r="I36" s="153" t="s">
        <v>265</v>
      </c>
      <c r="J36" s="218"/>
      <c r="K36" s="208"/>
    </row>
    <row r="37" spans="1:11" ht="17.25" customHeight="1">
      <c r="A37" s="110" t="s">
        <v>12</v>
      </c>
      <c r="B37" s="153"/>
      <c r="C37" s="218"/>
      <c r="D37" s="207"/>
      <c r="E37" s="208"/>
      <c r="F37" s="118"/>
      <c r="G37" s="110" t="s">
        <v>12</v>
      </c>
      <c r="H37" s="153"/>
      <c r="I37" s="218"/>
      <c r="J37" s="207"/>
      <c r="K37" s="208"/>
    </row>
    <row r="38" spans="1:11" ht="17.25" customHeight="1">
      <c r="A38" s="119" t="s">
        <v>290</v>
      </c>
      <c r="B38" s="120" t="s">
        <v>277</v>
      </c>
      <c r="C38" s="120" t="s">
        <v>291</v>
      </c>
      <c r="D38" s="120" t="s">
        <v>280</v>
      </c>
      <c r="E38" s="121" t="s">
        <v>292</v>
      </c>
      <c r="F38" s="118"/>
      <c r="G38" s="119" t="s">
        <v>290</v>
      </c>
      <c r="H38" s="120" t="s">
        <v>277</v>
      </c>
      <c r="I38" s="120" t="s">
        <v>291</v>
      </c>
      <c r="J38" s="120" t="s">
        <v>280</v>
      </c>
      <c r="K38" s="113" t="s">
        <v>292</v>
      </c>
    </row>
    <row r="39" spans="1:11" ht="18" customHeight="1" thickBot="1">
      <c r="A39" s="114"/>
      <c r="B39" s="115"/>
      <c r="C39" s="115"/>
      <c r="D39" s="115"/>
      <c r="E39" s="116"/>
      <c r="F39" s="122"/>
      <c r="G39" s="114"/>
      <c r="H39" s="115"/>
      <c r="I39" s="115"/>
      <c r="J39" s="123"/>
      <c r="K39" s="124"/>
    </row>
    <row r="40" spans="1:11" ht="17.25" customHeight="1" thickTop="1"/>
  </sheetData>
  <mergeCells count="50">
    <mergeCell ref="G1:K1"/>
    <mergeCell ref="H2:K2"/>
    <mergeCell ref="G25:K25"/>
    <mergeCell ref="C29:E29"/>
    <mergeCell ref="B10:E10"/>
    <mergeCell ref="A9:E9"/>
    <mergeCell ref="G9:K9"/>
    <mergeCell ref="B2:E2"/>
    <mergeCell ref="D3:E3"/>
    <mergeCell ref="A17:E17"/>
    <mergeCell ref="D12:E12"/>
    <mergeCell ref="J3:K3"/>
    <mergeCell ref="J12:K12"/>
    <mergeCell ref="C5:E5"/>
    <mergeCell ref="C37:E37"/>
    <mergeCell ref="I13:K13"/>
    <mergeCell ref="H34:K34"/>
    <mergeCell ref="A33:E33"/>
    <mergeCell ref="G33:K33"/>
    <mergeCell ref="D28:E28"/>
    <mergeCell ref="D35:E35"/>
    <mergeCell ref="B34:E34"/>
    <mergeCell ref="J4:K4"/>
    <mergeCell ref="B18:E18"/>
    <mergeCell ref="J11:K11"/>
    <mergeCell ref="J20:K20"/>
    <mergeCell ref="C13:E13"/>
    <mergeCell ref="D4:E4"/>
    <mergeCell ref="A25:E25"/>
    <mergeCell ref="J27:K27"/>
    <mergeCell ref="J36:K36"/>
    <mergeCell ref="I29:K29"/>
    <mergeCell ref="H10:K10"/>
    <mergeCell ref="J35:K35"/>
    <mergeCell ref="D20:E20"/>
    <mergeCell ref="D19:E19"/>
    <mergeCell ref="I37:K37"/>
    <mergeCell ref="J19:K19"/>
    <mergeCell ref="A1:E1"/>
    <mergeCell ref="J28:K28"/>
    <mergeCell ref="C21:E21"/>
    <mergeCell ref="D36:E36"/>
    <mergeCell ref="I21:K21"/>
    <mergeCell ref="G17:K17"/>
    <mergeCell ref="H18:K18"/>
    <mergeCell ref="B26:E26"/>
    <mergeCell ref="H26:K26"/>
    <mergeCell ref="D11:E11"/>
    <mergeCell ref="I5:K5"/>
    <mergeCell ref="D27:E27"/>
  </mergeCells>
  <phoneticPr fontId="3" type="noConversion"/>
  <pageMargins left="0.70866141732283472" right="0.70866141732283472" top="0.74803149606299213" bottom="0.74803149606299213" header="0.31496062992125978" footer="0.31496062992125978"/>
  <pageSetup paperSize="9" scale="9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18</vt:i4>
      </vt:variant>
      <vt:variant>
        <vt:lpstr>已命名的範圍</vt:lpstr>
      </vt:variant>
      <vt:variant>
        <vt:i4>34</vt:i4>
      </vt:variant>
    </vt:vector>
  </HeadingPairs>
  <TitlesOfParts>
    <vt:vector size="52" baseType="lpstr">
      <vt:lpstr>客戶資料表</vt:lpstr>
      <vt:lpstr>車輛進出管制</vt:lpstr>
      <vt:lpstr>客戶來店登記</vt:lpstr>
      <vt:lpstr>車籍資料</vt:lpstr>
      <vt:lpstr>過戶繳銷進度表</vt:lpstr>
      <vt:lpstr>車名</vt:lpstr>
      <vt:lpstr>過戶牌照</vt:lpstr>
      <vt:lpstr>7-11登記名單</vt:lpstr>
      <vt:lpstr>衛星導航領請清冊</vt:lpstr>
      <vt:lpstr>杰運匯款帳號</vt:lpstr>
      <vt:lpstr>車輛美容預約</vt:lpstr>
      <vt:lpstr>業績表</vt:lpstr>
      <vt:lpstr>2019</vt:lpstr>
      <vt:lpstr>AutoStar估車</vt:lpstr>
      <vt:lpstr>代辦付費表</vt:lpstr>
      <vt:lpstr>牌登正本</vt:lpstr>
      <vt:lpstr>認證表格</vt:lpstr>
      <vt:lpstr>車籍</vt:lpstr>
      <vt:lpstr>Calendar10Month</vt:lpstr>
      <vt:lpstr>Calendar10Year</vt:lpstr>
      <vt:lpstr>Calendar11Month</vt:lpstr>
      <vt:lpstr>Calendar11Year</vt:lpstr>
      <vt:lpstr>Calendar12Month</vt:lpstr>
      <vt:lpstr>Calendar12Year</vt:lpstr>
      <vt:lpstr>Calendar1Month</vt:lpstr>
      <vt:lpstr>Calendar1Year</vt:lpstr>
      <vt:lpstr>Calendar2Month</vt:lpstr>
      <vt:lpstr>Calendar2Year</vt:lpstr>
      <vt:lpstr>Calendar3Month</vt:lpstr>
      <vt:lpstr>Calendar3Year</vt:lpstr>
      <vt:lpstr>Calendar4Month</vt:lpstr>
      <vt:lpstr>Calendar4Year</vt:lpstr>
      <vt:lpstr>Calendar5Month</vt:lpstr>
      <vt:lpstr>Calendar5Year</vt:lpstr>
      <vt:lpstr>Calendar6Month</vt:lpstr>
      <vt:lpstr>Calendar6Year</vt:lpstr>
      <vt:lpstr>Calendar7Month</vt:lpstr>
      <vt:lpstr>Calendar7Year</vt:lpstr>
      <vt:lpstr>Calendar8Month</vt:lpstr>
      <vt:lpstr>Calendar8Year</vt:lpstr>
      <vt:lpstr>Calendar9Month</vt:lpstr>
      <vt:lpstr>Calendar9Year</vt:lpstr>
      <vt:lpstr>'2019'!Print_Area</vt:lpstr>
      <vt:lpstr>代辦付費表!Print_Area</vt:lpstr>
      <vt:lpstr>車輛進出管制!Print_Area</vt:lpstr>
      <vt:lpstr>車籍資料!Print_Area</vt:lpstr>
      <vt:lpstr>杰運匯款帳號!Print_Area</vt:lpstr>
      <vt:lpstr>客戶來店登記!Print_Area</vt:lpstr>
      <vt:lpstr>牌登正本!Print_Area</vt:lpstr>
      <vt:lpstr>業績表!Print_Area</vt:lpstr>
      <vt:lpstr>衛星導航領請清冊!Print_Area</vt:lpstr>
      <vt:lpstr>WeekStart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User02</cp:lastModifiedBy>
  <cp:lastPrinted>2026-01-23T10:47:49Z</cp:lastPrinted>
  <dcterms:created xsi:type="dcterms:W3CDTF">2006-09-16T00:00:00Z</dcterms:created>
  <dcterms:modified xsi:type="dcterms:W3CDTF">2026-01-23T12:59:53Z</dcterms:modified>
</cp:coreProperties>
</file>